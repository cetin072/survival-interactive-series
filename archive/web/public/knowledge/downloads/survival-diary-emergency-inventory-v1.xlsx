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2229109f0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588411a10ebe4b87"/>
    <x:sheet xmlns:r="http://schemas.openxmlformats.org/officeDocument/2006/relationships" name="설정" sheetId="2" r:id="R3143c55f1e0e4b40"/>
    <x:sheet xmlns:r="http://schemas.openxmlformats.org/officeDocument/2006/relationships" name="비상용품 목록" sheetId="3" r:id="R1d027473dba34f95"/>
    <x:sheet xmlns:r="http://schemas.openxmlformats.org/officeDocument/2006/relationships" name="입출고 기록" sheetId="4" r:id="R9c5ce7cb06f2493e"/>
    <x:sheet xmlns:r="http://schemas.openxmlformats.org/officeDocument/2006/relationships" name="예시" sheetId="5" r:id="R84c28b52ee08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sz val="10"/>
      <x:color rgb="FF66666E"/>
      <x:name val="Carlito"/>
    </x:font>
    <x:font>
      <x:sz val="9"/>
      <x:color rgb="FF77777F"/>
      <x:name val="Carlito"/>
    </x:font>
    <x:font>
      <x:b/>
      <x:sz val="17"/>
      <x:color rgb="FFFFFFFF"/>
      <x:name val="Carlito"/>
    </x:font>
    <x:font>
      <x:b/>
      <x:sz val="15"/>
      <x:name val="Carlito"/>
    </x:font>
    <x:font>
      <x:i/>
      <x:sz val="11"/>
      <x:color rgb="FF66666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2023"/>
      </x:patternFill>
    </x:fill>
    <x:fill>
      <x:patternFill patternType="solid">
        <x:fgColor rgb="FFF2F2F4"/>
      </x:patternFill>
    </x:fill>
    <x:fill>
      <x:patternFill patternType="solid">
        <x:fgColor rgb="FFE8E8EB"/>
      </x:patternFill>
    </x:fill>
    <x:fill>
      <x:patternFill patternType="solid">
        <x:fgColor rgb="FFF3F3F5"/>
      </x:patternFill>
    </x:fill>
    <x:fill>
      <x:patternFill patternType="solid">
        <x:fgColor rgb="FFD9D9DE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FF0D9"/>
        </x:patternFill>
      </x:fill>
    </x:dxf>
    <x:dxf>
      <x:fill>
        <x:patternFill patternType="solid">
          <x:bgColor rgb="FFEAF5EA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d1867b4a0450d" /><Relationship Type="http://schemas.openxmlformats.org/officeDocument/2006/relationships/theme" Target="/xl/theme/theme1.xml" Id="R4c80b9040da14124" /><Relationship Type="http://schemas.openxmlformats.org/officeDocument/2006/relationships/sharedStrings" Target="/xl/sharedStrings.xml" Id="R463ec15b34054dd7" /><Relationship Type="http://schemas.openxmlformats.org/officeDocument/2006/relationships/worksheet" Target="/xl/worksheets/sheet1.xml" Id="R588411a10ebe4b87" /><Relationship Type="http://schemas.openxmlformats.org/officeDocument/2006/relationships/worksheet" Target="/xl/worksheets/sheet2.xml" Id="R3143c55f1e0e4b40" /><Relationship Type="http://schemas.openxmlformats.org/officeDocument/2006/relationships/worksheet" Target="/xl/worksheets/sheet3.xml" Id="R1d027473dba34f95" /><Relationship Type="http://schemas.openxmlformats.org/officeDocument/2006/relationships/worksheet" Target="/xl/worksheets/sheet4.xml" Id="R9c5ce7cb06f2493e" /><Relationship Type="http://schemas.openxmlformats.org/officeDocument/2006/relationships/worksheet" Target="/xl/worksheets/sheet5.xml" Id="R84c28b52ee084243" /></Relationships>
</file>

<file path=xl/tables/table1.xml><?xml version="1.0" encoding="utf-8"?>
<x:table xmlns:x="http://schemas.openxmlformats.org/spreadsheetml/2006/main" id="1" name="EmergencyInventoryTable" displayName="EmergencyInventoryTable" ref="A6:N106" headerRowCount="1" totalsRowCount="0" totalsRowShown="0">
  <x:tableColumns count="14">
    <x:tableColumn id="1" name="품목ID"/>
    <x:tableColumn id="2" name="분류"/>
    <x:tableColumn id="3" name="품목명"/>
    <x:tableColumn id="4" name="보관 위치"/>
    <x:tableColumn id="5" name="단위"/>
    <x:tableColumn id="6" name="기초수량"/>
    <x:tableColumn id="7" name="장부재고"/>
    <x:tableColumn id="8" name="실사수량"/>
    <x:tableColumn id="9" name="차이"/>
    <x:tableColumn id="10" name="유효기간/교체예정일"/>
    <x:tableColumn id="11" name="마지막 점검일"/>
    <x:tableColumn id="12" name="다음 점검 예정일"/>
    <x:tableColumn id="13" name="상태"/>
    <x:tableColumn id="14" name="조치/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MovementTable" displayName="InventoryMovementTable" ref="A1:I501" headerRowCount="1" totalsRowCount="0" totalsRowShown="0">
  <x:tableColumns count="9">
    <x:tableColumn id="1" name="날짜"/>
    <x:tableColumn id="2" name="품목ID"/>
    <x:tableColumn id="3" name="품목명"/>
    <x:tableColumn id="4" name="유형"/>
    <x:tableColumn id="5" name="수량"/>
    <x:tableColumn id="6" name="단위"/>
    <x:tableColumn id="7" name="사유"/>
    <x:tableColumn id="8" name="보관 위치"/>
    <x:tableColumn id="9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ergencyInventoryExampleTable" displayName="EmergencyInventoryExampleTable" ref="A1:N4" headerRowCount="1" totalsRowCount="0" totalsRowShown="0">
  <x:tableColumns count="14">
    <x:tableColumn id="1" name="품목ID"/>
    <x:tableColumn id="2" name="분류"/>
    <x:tableColumn id="3" name="품목명"/>
    <x:tableColumn id="4" name="보관 위치"/>
    <x:tableColumn id="5" name="단위"/>
    <x:tableColumn id="6" name="기초수량"/>
    <x:tableColumn id="7" name="장부재고"/>
    <x:tableColumn id="8" name="실사수량"/>
    <x:tableColumn id="9" name="차이"/>
    <x:tableColumn id="10" name="유효기간/교체예정일"/>
    <x:tableColumn id="11" name="마지막 점검일"/>
    <x:tableColumn id="12" name="다음 점검 예정일"/>
    <x:tableColumn id="13" name="상태"/>
    <x:tableColumn id="14" name="조치/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e4492984de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6433afed8a42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6b14d8a42d749e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</x:cols>
  <x:sheetData>
    <x:row r="1" ht="32" customHeight="1">
      <x:c r="A1" s="5" t="str">
        <x:v>생존일기 · 비상용품/재고 관리표</x:v>
      </x:c>
      <x:c r="B1" s="5"/>
      <x:c r="C1" s="5"/>
      <x:c r="D1" s="5"/>
      <x:c r="E1" s="5"/>
      <x:c r="F1" s="5"/>
    </x:row>
    <x:row r="3">
      <x:c r="A3" s="12" t="str">
        <x:v>공식 재난안전 서식이 아니라, 비상용품을 '찾고·점검하고·교체'하기 쉽게 정리한 실사용 템플릿입니다.</x:v>
      </x:c>
      <x:c r="B3" s="12"/>
      <x:c r="C3" s="12"/>
      <x:c r="D3" s="12"/>
      <x:c r="E3" s="12"/>
      <x:c r="F3" s="12"/>
    </x:row>
    <x:row r="5">
      <x:c r="A5" s="20" t="str">
        <x:v>사용 순서</x:v>
      </x:c>
      <x:c r="B5" s="20" t="str">
        <x:v>설명</x:v>
      </x:c>
    </x:row>
    <x:row r="6">
      <x:c r="A6" s="21" t="str">
        <x:v>1</x:v>
      </x:c>
      <x:c r="B6" s="21" t="str">
        <x:v>비상용품 목록에 품목ID, 품목명, 위치, 기초수량을 입력합니다.</x:v>
      </x:c>
    </x:row>
    <x:row r="7">
      <x:c r="A7" s="21" t="str">
        <x:v>2</x:v>
      </x:c>
      <x:c r="B7" s="21" t="str">
        <x:v>물품이 들어오거나 나가면 '입출고 기록'에 날짜·품목ID·유형·수량을 기록합니다.</x:v>
      </x:c>
    </x:row>
    <x:row r="8">
      <x:c r="A8" s="21" t="str">
        <x:v>3</x:v>
      </x:c>
      <x:c r="B8" s="21" t="str">
        <x:v>장부재고는 입출고 기록을 합산해 자동 계산됩니다.</x:v>
      </x:c>
    </x:row>
    <x:row r="9">
      <x:c r="A9" s="21" t="str">
        <x:v>4</x:v>
      </x:c>
      <x:c r="B9" s="21" t="str">
        <x:v>실제 수량을 세어 '실사수량'을 넣으면 차이가 자동 표시됩니다.</x:v>
      </x:c>
    </x:row>
    <x:row r="10">
      <x:c r="A10" s="21" t="str">
        <x:v>5</x:v>
      </x:c>
      <x:c r="B10" s="21" t="str">
        <x:v>유효기간/교체예정일과 마지막 점검일을 넣으면 상태가 자동 표시됩니다.</x:v>
      </x:c>
    </x:row>
    <x:row r="11">
      <x:c r="A11" s="21" t="str">
        <x:v>6</x:v>
      </x:c>
      <x:c r="B11" s="21" t="str">
        <x:v>전체 점검 주기 6개월은 관리용 기본 예시이며, 개별 품목의 공식 기준이 더 짧으면 그 기준을 우선하세요.</x:v>
      </x:c>
    </x:row>
    <x:row r="13">
      <x:c r="A13" s="25" t="str">
        <x:v>근거 참고: 국민안전24 호우 행동요령(비상용품 준비·최소 3일분 비축), CDC Building an Emergency Kit(6개월 점검 예시)</x:v>
      </x:c>
      <x:c r="B13" s="25"/>
      <x:c r="C13" s="25"/>
      <x:c r="D13" s="25"/>
      <x:c r="E13" s="25"/>
      <x:c r="F13" s="25"/>
    </x:row>
    <x:row r="14">
      <x:c r="A14" s="29" t="str">
        <x:v>출처: https://www.safekorea.go.kr/safekorea-kor/acts/nacts/action-guide.do?actsHeaderTitle=%ED%98%B8%EC%9A%B0&amp;category=heavyRain&amp;menuSn=4
https://www.cdc.gov/disability-emergency-preparedness/people-with-disabilities/build-a-kit.html</x:v>
      </x:c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</x:sheetData>
  <x:mergeCells>
    <x:mergeCell ref="A1:F1"/>
    <x:mergeCell ref="A3:F3"/>
    <x:mergeCell ref="A13:F13"/>
    <x:mergeCell ref="A14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7" t="str">
        <x:v>분류</x:v>
      </x:c>
      <x:c r="B1" s="17" t="str">
        <x:v>입출고 유형</x:v>
      </x:c>
      <x:c r="C1" s="17" t="str">
        <x:v>상태</x:v>
      </x:c>
    </x:row>
    <x:row r="2">
      <x:c r="A2" t="str">
        <x:v>식수</x:v>
      </x:c>
      <x:c r="B2" t="str">
        <x:v>입고</x:v>
      </x:c>
      <x:c r="C2" t="str">
        <x:v>정상</x:v>
      </x:c>
    </x:row>
    <x:row r="3">
      <x:c r="A3" t="str">
        <x:v>식량</x:v>
      </x:c>
      <x:c r="B3" t="str">
        <x:v>출고</x:v>
      </x:c>
      <x:c r="C3" t="str">
        <x:v>30일 내</x:v>
      </x:c>
    </x:row>
    <x:row r="4">
      <x:c r="A4" t="str">
        <x:v>조명</x:v>
      </x:c>
      <x:c r="B4" t="str">
        <x:v>조정</x:v>
      </x:c>
      <x:c r="C4" t="str">
        <x:v>점검 필요</x:v>
      </x:c>
    </x:row>
    <x:row r="5">
      <x:c r="A5" t="str">
        <x:v>전력</x:v>
      </x:c>
      <x:c r="C5" t="str">
        <x:v>교체/확인</x:v>
      </x:c>
    </x:row>
    <x:row r="6">
      <x:c r="A6" t="str">
        <x:v>통신</x:v>
      </x:c>
    </x:row>
    <x:row r="7">
      <x:c r="A7" t="str">
        <x:v>보온</x:v>
      </x:c>
    </x:row>
    <x:row r="8">
      <x:c r="A8" t="str">
        <x:v>위생</x:v>
      </x:c>
    </x:row>
    <x:row r="9">
      <x:c r="A9" t="str">
        <x:v>기타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8" hidden="0" customWidth="1"/>
    <x:col min="5" max="5" width="9" hidden="0" customWidth="1"/>
    <x:col min="6" max="6" width="11" hidden="0" customWidth="1"/>
    <x:col min="7" max="7" width="11" hidden="0" customWidth="1"/>
    <x:col min="8" max="8" width="11" hidden="0" customWidth="1"/>
    <x:col min="9" max="9" width="9" hidden="0" customWidth="1"/>
    <x:col min="10" max="10" width="17" hidden="0" customWidth="1"/>
    <x:col min="11" max="11" width="15" hidden="0" customWidth="1"/>
    <x:col min="12" max="12" width="15" hidden="0" customWidth="1"/>
    <x:col min="13" max="13" width="13" hidden="0" customWidth="1"/>
    <x:col min="14" max="14" width="26" hidden="0" customWidth="1"/>
  </x:cols>
  <x:sheetData>
    <x:row r="1" ht="30" customHeight="1">
      <x:c r="A1" s="33" t="str">
        <x:v>비상용품/재고 현황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3">
      <x:c r="A3" s="36" t="str">
        <x:v>등록 품목</x:v>
      </x:c>
      <x:c r="B3" s="38" t="n">
        <x:f>COUNTA(C7:C106)</x:f>
        <x:v>0</x:v>
      </x:c>
      <x:c r="D3" s="36" t="str">
        <x:v>총 장부재고</x:v>
      </x:c>
      <x:c r="E3" s="38" t="n">
        <x:f>SUM(G7:G106)</x:f>
        <x:v>0</x:v>
      </x:c>
      <x:c r="G3" s="36" t="str">
        <x:v>확인 필요</x:v>
      </x:c>
      <x:c r="H3" s="38" t="n">
        <x:f>COUNTIF(M7:M106,"점검 필요")+COUNTIF(M7:M106,"교체/확인")</x:f>
        <x:v>0</x:v>
      </x:c>
      <x:c r="J3" s="36" t="str">
        <x:v>30일 내</x:v>
      </x:c>
      <x:c r="K3" s="38" t="n">
        <x:f>COUNTIF(M7:M106,"30일 내")</x:f>
        <x:v>0</x:v>
      </x:c>
    </x:row>
    <x:row r="4">
      <x:c r="A4" s="36" t="str">
        <x:v>설명</x:v>
      </x:c>
      <x:c r="B4" s="36" t="str">
        <x:v>품목명이 입력된 항목 수</x:v>
      </x:c>
      <x:c r="D4" s="36" t="str">
        <x:v>설명</x:v>
      </x:c>
      <x:c r="E4" s="36" t="str">
        <x:v>장부상 수량 합계</x:v>
      </x:c>
      <x:c r="G4" s="36" t="str">
        <x:v>설명</x:v>
      </x:c>
      <x:c r="H4" s="36" t="str">
        <x:v>점검/교체가 필요한 항목</x:v>
      </x:c>
      <x:c r="J4" s="36" t="str">
        <x:v>설명</x:v>
      </x:c>
      <x:c r="K4" s="36" t="str">
        <x:v>유효기간/교체 예정일 임박</x:v>
      </x:c>
    </x:row>
    <x:row r="6">
      <x:c r="A6" s="44" t="str">
        <x:v>품목ID</x:v>
      </x:c>
      <x:c r="B6" s="44" t="str">
        <x:v>분류</x:v>
      </x:c>
      <x:c r="C6" s="44" t="str">
        <x:v>품목명</x:v>
      </x:c>
      <x:c r="D6" s="44" t="str">
        <x:v>보관 위치</x:v>
      </x:c>
      <x:c r="E6" s="44" t="str">
        <x:v>단위</x:v>
      </x:c>
      <x:c r="F6" s="44" t="str">
        <x:v>기초수량</x:v>
      </x:c>
      <x:c r="G6" s="44" t="str">
        <x:v>장부재고</x:v>
      </x:c>
      <x:c r="H6" s="44" t="str">
        <x:v>실사수량</x:v>
      </x:c>
      <x:c r="I6" s="44" t="str">
        <x:v>차이</x:v>
      </x:c>
      <x:c r="J6" s="44" t="str">
        <x:v>유효기간/교체예정일</x:v>
      </x:c>
      <x:c r="K6" s="44" t="str">
        <x:v>마지막 점검일</x:v>
      </x:c>
      <x:c r="L6" s="44" t="str">
        <x:v>다음 점검 예정일</x:v>
      </x:c>
      <x:c r="M6" s="44" t="str">
        <x:v>상태</x:v>
      </x:c>
      <x:c r="N6" s="44" t="str">
        <x:v>조치/메모</x:v>
      </x:c>
    </x:row>
    <x:row r="7">
      <x:c r="A7" s="21"/>
      <x:c r="B7" s="21"/>
      <x:c r="C7" s="21"/>
      <x:c r="D7" s="21"/>
      <x:c r="E7" s="21"/>
      <x:c r="F7" s="21"/>
      <x:c r="G7" s="21" t="str">
        <x:f>IF(A7="","",F7+SUMIFS('입출고 기록'!$E$2:$E$501,'입출고 기록'!$B$2:$B$501,A7,'입출고 기록'!$D$2:$D$501,"입고")-SUMIFS('입출고 기록'!$E$2:$E$501,'입출고 기록'!$B$2:$B$501,A7,'입출고 기록'!$D$2:$D$501,"출고")+SUMIFS('입출고 기록'!$E$2:$E$501,'입출고 기록'!$B$2:$B$501,A7,'입출고 기록'!$D$2:$D$501,"조정"))</x:f>
      </x:c>
      <x:c r="H7" s="21"/>
      <x:c r="I7" s="21" t="str">
        <x:f>IF(OR(A7="",H7=""),"",H7-G7)</x:f>
      </x:c>
      <x:c r="J7" s="52"/>
      <x:c r="K7" s="52"/>
      <x:c r="L7" s="52" t="str">
        <x:f>IF(K7="","",EDATE(K7,6))</x:f>
      </x:c>
      <x:c r="M7" s="21" t="str">
        <x:f>IF(A7="","",IF(AND(ISNUMBER(J7),J7&lt;TODAY()),"교체/확인",IF(AND(ISNUMBER(J7),J7&lt;=TODAY()+30),"30일 내",IF(AND(ISNUMBER(L7),L7&lt;=TODAY()),"점검 필요","정상"))))</x:f>
      </x:c>
      <x:c r="N7" s="21"/>
    </x:row>
    <x:row r="8">
      <x:c r="A8" s="21"/>
      <x:c r="B8" s="21"/>
      <x:c r="C8" s="21"/>
      <x:c r="D8" s="21"/>
      <x:c r="E8" s="21"/>
      <x:c r="F8" s="21"/>
      <x:c r="G8" s="21" t="str">
        <x:f>IF(A8="","",F8+SUMIFS('입출고 기록'!$E$2:$E$501,'입출고 기록'!$B$2:$B$501,A8,'입출고 기록'!$D$2:$D$501,"입고")-SUMIFS('입출고 기록'!$E$2:$E$501,'입출고 기록'!$B$2:$B$501,A8,'입출고 기록'!$D$2:$D$501,"출고")+SUMIFS('입출고 기록'!$E$2:$E$501,'입출고 기록'!$B$2:$B$501,A8,'입출고 기록'!$D$2:$D$501,"조정"))</x:f>
      </x:c>
      <x:c r="H8" s="21"/>
      <x:c r="I8" s="21" t="str">
        <x:f>IF(OR(A8="",H8=""),"",H8-G8)</x:f>
      </x:c>
      <x:c r="J8" s="52"/>
      <x:c r="K8" s="52"/>
      <x:c r="L8" s="52" t="str">
        <x:f>IF(K8="","",EDATE(K8,6))</x:f>
      </x:c>
      <x:c r="M8" s="21" t="str">
        <x:f>IF(A8="","",IF(AND(ISNUMBER(J8),J8&lt;TODAY()),"교체/확인",IF(AND(ISNUMBER(J8),J8&lt;=TODAY()+30),"30일 내",IF(AND(ISNUMBER(L8),L8&lt;=TODAY()),"점검 필요","정상"))))</x:f>
      </x:c>
      <x:c r="N8" s="21"/>
    </x:row>
    <x:row r="9">
      <x:c r="A9" s="21"/>
      <x:c r="B9" s="21"/>
      <x:c r="C9" s="21"/>
      <x:c r="D9" s="21"/>
      <x:c r="E9" s="21"/>
      <x:c r="F9" s="21"/>
      <x:c r="G9" s="21" t="str">
        <x:f>IF(A9="","",F9+SUMIFS('입출고 기록'!$E$2:$E$501,'입출고 기록'!$B$2:$B$501,A9,'입출고 기록'!$D$2:$D$501,"입고")-SUMIFS('입출고 기록'!$E$2:$E$501,'입출고 기록'!$B$2:$B$501,A9,'입출고 기록'!$D$2:$D$501,"출고")+SUMIFS('입출고 기록'!$E$2:$E$501,'입출고 기록'!$B$2:$B$501,A9,'입출고 기록'!$D$2:$D$501,"조정"))</x:f>
      </x:c>
      <x:c r="H9" s="21"/>
      <x:c r="I9" s="21" t="str">
        <x:f>IF(OR(A9="",H9=""),"",H9-G9)</x:f>
      </x:c>
      <x:c r="J9" s="52"/>
      <x:c r="K9" s="52"/>
      <x:c r="L9" s="52" t="str">
        <x:f>IF(K9="","",EDATE(K9,6))</x:f>
      </x:c>
      <x:c r="M9" s="21" t="str">
        <x:f>IF(A9="","",IF(AND(ISNUMBER(J9),J9&lt;TODAY()),"교체/확인",IF(AND(ISNUMBER(J9),J9&lt;=TODAY()+30),"30일 내",IF(AND(ISNUMBER(L9),L9&lt;=TODAY()),"점검 필요","정상"))))</x:f>
      </x:c>
      <x:c r="N9" s="21"/>
    </x:row>
    <x:row r="10">
      <x:c r="A10" s="21"/>
      <x:c r="B10" s="21"/>
      <x:c r="C10" s="21"/>
      <x:c r="D10" s="21"/>
      <x:c r="E10" s="21"/>
      <x:c r="F10" s="21"/>
      <x:c r="G10" s="21" t="str">
        <x:f>IF(A10="","",F10+SUMIFS('입출고 기록'!$E$2:$E$501,'입출고 기록'!$B$2:$B$501,A10,'입출고 기록'!$D$2:$D$501,"입고")-SUMIFS('입출고 기록'!$E$2:$E$501,'입출고 기록'!$B$2:$B$501,A10,'입출고 기록'!$D$2:$D$501,"출고")+SUMIFS('입출고 기록'!$E$2:$E$501,'입출고 기록'!$B$2:$B$501,A10,'입출고 기록'!$D$2:$D$501,"조정"))</x:f>
      </x:c>
      <x:c r="H10" s="21"/>
      <x:c r="I10" s="21" t="str">
        <x:f>IF(OR(A10="",H10=""),"",H10-G10)</x:f>
      </x:c>
      <x:c r="J10" s="52"/>
      <x:c r="K10" s="52"/>
      <x:c r="L10" s="52" t="str">
        <x:f>IF(K10="","",EDATE(K10,6))</x:f>
      </x:c>
      <x:c r="M10" s="21" t="str">
        <x:f>IF(A10="","",IF(AND(ISNUMBER(J10),J10&lt;TODAY()),"교체/확인",IF(AND(ISNUMBER(J10),J10&lt;=TODAY()+30),"30일 내",IF(AND(ISNUMBER(L10),L10&lt;=TODAY()),"점검 필요","정상"))))</x:f>
      </x:c>
      <x:c r="N10" s="21"/>
    </x:row>
    <x:row r="11">
      <x:c r="A11" s="21"/>
      <x:c r="B11" s="21"/>
      <x:c r="C11" s="21"/>
      <x:c r="D11" s="21"/>
      <x:c r="E11" s="21"/>
      <x:c r="F11" s="21"/>
      <x:c r="G11" s="21" t="str">
        <x:f>IF(A11="","",F11+SUMIFS('입출고 기록'!$E$2:$E$501,'입출고 기록'!$B$2:$B$501,A11,'입출고 기록'!$D$2:$D$501,"입고")-SUMIFS('입출고 기록'!$E$2:$E$501,'입출고 기록'!$B$2:$B$501,A11,'입출고 기록'!$D$2:$D$501,"출고")+SUMIFS('입출고 기록'!$E$2:$E$501,'입출고 기록'!$B$2:$B$501,A11,'입출고 기록'!$D$2:$D$501,"조정"))</x:f>
      </x:c>
      <x:c r="H11" s="21"/>
      <x:c r="I11" s="21" t="str">
        <x:f>IF(OR(A11="",H11=""),"",H11-G11)</x:f>
      </x:c>
      <x:c r="J11" s="52"/>
      <x:c r="K11" s="52"/>
      <x:c r="L11" s="52" t="str">
        <x:f>IF(K11="","",EDATE(K11,6))</x:f>
      </x:c>
      <x:c r="M11" s="21" t="str">
        <x:f>IF(A11="","",IF(AND(ISNUMBER(J11),J11&lt;TODAY()),"교체/확인",IF(AND(ISNUMBER(J11),J11&lt;=TODAY()+30),"30일 내",IF(AND(ISNUMBER(L11),L11&lt;=TODAY()),"점검 필요","정상"))))</x:f>
      </x:c>
      <x:c r="N11" s="21"/>
    </x:row>
    <x:row r="12">
      <x:c r="A12" s="21"/>
      <x:c r="B12" s="21"/>
      <x:c r="C12" s="21"/>
      <x:c r="D12" s="21"/>
      <x:c r="E12" s="21"/>
      <x:c r="F12" s="21"/>
      <x:c r="G12" s="21" t="str">
        <x:f>IF(A12="","",F12+SUMIFS('입출고 기록'!$E$2:$E$501,'입출고 기록'!$B$2:$B$501,A12,'입출고 기록'!$D$2:$D$501,"입고")-SUMIFS('입출고 기록'!$E$2:$E$501,'입출고 기록'!$B$2:$B$501,A12,'입출고 기록'!$D$2:$D$501,"출고")+SUMIFS('입출고 기록'!$E$2:$E$501,'입출고 기록'!$B$2:$B$501,A12,'입출고 기록'!$D$2:$D$501,"조정"))</x:f>
      </x:c>
      <x:c r="H12" s="21"/>
      <x:c r="I12" s="21" t="str">
        <x:f>IF(OR(A12="",H12=""),"",H12-G12)</x:f>
      </x:c>
      <x:c r="J12" s="52"/>
      <x:c r="K12" s="52"/>
      <x:c r="L12" s="52" t="str">
        <x:f>IF(K12="","",EDATE(K12,6))</x:f>
      </x:c>
      <x:c r="M12" s="21" t="str">
        <x:f>IF(A12="","",IF(AND(ISNUMBER(J12),J12&lt;TODAY()),"교체/확인",IF(AND(ISNUMBER(J12),J12&lt;=TODAY()+30),"30일 내",IF(AND(ISNUMBER(L12),L12&lt;=TODAY()),"점검 필요","정상"))))</x:f>
      </x:c>
      <x:c r="N12" s="21"/>
    </x:row>
    <x:row r="13">
      <x:c r="A13" s="21"/>
      <x:c r="B13" s="21"/>
      <x:c r="C13" s="21"/>
      <x:c r="D13" s="21"/>
      <x:c r="E13" s="21"/>
      <x:c r="F13" s="21"/>
      <x:c r="G13" s="21" t="str">
        <x:f>IF(A13="","",F13+SUMIFS('입출고 기록'!$E$2:$E$501,'입출고 기록'!$B$2:$B$501,A13,'입출고 기록'!$D$2:$D$501,"입고")-SUMIFS('입출고 기록'!$E$2:$E$501,'입출고 기록'!$B$2:$B$501,A13,'입출고 기록'!$D$2:$D$501,"출고")+SUMIFS('입출고 기록'!$E$2:$E$501,'입출고 기록'!$B$2:$B$501,A13,'입출고 기록'!$D$2:$D$501,"조정"))</x:f>
      </x:c>
      <x:c r="H13" s="21"/>
      <x:c r="I13" s="21" t="str">
        <x:f>IF(OR(A13="",H13=""),"",H13-G13)</x:f>
      </x:c>
      <x:c r="J13" s="52"/>
      <x:c r="K13" s="52"/>
      <x:c r="L13" s="52" t="str">
        <x:f>IF(K13="","",EDATE(K13,6))</x:f>
      </x:c>
      <x:c r="M13" s="21" t="str">
        <x:f>IF(A13="","",IF(AND(ISNUMBER(J13),J13&lt;TODAY()),"교체/확인",IF(AND(ISNUMBER(J13),J13&lt;=TODAY()+30),"30일 내",IF(AND(ISNUMBER(L13),L13&lt;=TODAY()),"점검 필요","정상"))))</x:f>
      </x:c>
      <x:c r="N13" s="21"/>
    </x:row>
    <x:row r="14">
      <x:c r="A14" s="21"/>
      <x:c r="B14" s="21"/>
      <x:c r="C14" s="21"/>
      <x:c r="D14" s="21"/>
      <x:c r="E14" s="21"/>
      <x:c r="F14" s="21"/>
      <x:c r="G14" s="21" t="str">
        <x:f>IF(A14="","",F14+SUMIFS('입출고 기록'!$E$2:$E$501,'입출고 기록'!$B$2:$B$501,A14,'입출고 기록'!$D$2:$D$501,"입고")-SUMIFS('입출고 기록'!$E$2:$E$501,'입출고 기록'!$B$2:$B$501,A14,'입출고 기록'!$D$2:$D$501,"출고")+SUMIFS('입출고 기록'!$E$2:$E$501,'입출고 기록'!$B$2:$B$501,A14,'입출고 기록'!$D$2:$D$501,"조정"))</x:f>
      </x:c>
      <x:c r="H14" s="21"/>
      <x:c r="I14" s="21" t="str">
        <x:f>IF(OR(A14="",H14=""),"",H14-G14)</x:f>
      </x:c>
      <x:c r="J14" s="52"/>
      <x:c r="K14" s="52"/>
      <x:c r="L14" s="52" t="str">
        <x:f>IF(K14="","",EDATE(K14,6))</x:f>
      </x:c>
      <x:c r="M14" s="21" t="str">
        <x:f>IF(A14="","",IF(AND(ISNUMBER(J14),J14&lt;TODAY()),"교체/확인",IF(AND(ISNUMBER(J14),J14&lt;=TODAY()+30),"30일 내",IF(AND(ISNUMBER(L14),L14&lt;=TODAY()),"점검 필요","정상"))))</x:f>
      </x:c>
      <x:c r="N14" s="21"/>
    </x:row>
    <x:row r="15">
      <x:c r="A15" s="21"/>
      <x:c r="B15" s="21"/>
      <x:c r="C15" s="21"/>
      <x:c r="D15" s="21"/>
      <x:c r="E15" s="21"/>
      <x:c r="F15" s="21"/>
      <x:c r="G15" s="21" t="str">
        <x:f>IF(A15="","",F15+SUMIFS('입출고 기록'!$E$2:$E$501,'입출고 기록'!$B$2:$B$501,A15,'입출고 기록'!$D$2:$D$501,"입고")-SUMIFS('입출고 기록'!$E$2:$E$501,'입출고 기록'!$B$2:$B$501,A15,'입출고 기록'!$D$2:$D$501,"출고")+SUMIFS('입출고 기록'!$E$2:$E$501,'입출고 기록'!$B$2:$B$501,A15,'입출고 기록'!$D$2:$D$501,"조정"))</x:f>
      </x:c>
      <x:c r="H15" s="21"/>
      <x:c r="I15" s="21" t="str">
        <x:f>IF(OR(A15="",H15=""),"",H15-G15)</x:f>
      </x:c>
      <x:c r="J15" s="52"/>
      <x:c r="K15" s="52"/>
      <x:c r="L15" s="52" t="str">
        <x:f>IF(K15="","",EDATE(K15,6))</x:f>
      </x:c>
      <x:c r="M15" s="21" t="str">
        <x:f>IF(A15="","",IF(AND(ISNUMBER(J15),J15&lt;TODAY()),"교체/확인",IF(AND(ISNUMBER(J15),J15&lt;=TODAY()+30),"30일 내",IF(AND(ISNUMBER(L15),L15&lt;=TODAY()),"점검 필요","정상"))))</x:f>
      </x:c>
      <x:c r="N15" s="21"/>
    </x:row>
    <x:row r="16">
      <x:c r="A16" s="21"/>
      <x:c r="B16" s="21"/>
      <x:c r="C16" s="21"/>
      <x:c r="D16" s="21"/>
      <x:c r="E16" s="21"/>
      <x:c r="F16" s="21"/>
      <x:c r="G16" s="21" t="str">
        <x:f>IF(A16="","",F16+SUMIFS('입출고 기록'!$E$2:$E$501,'입출고 기록'!$B$2:$B$501,A16,'입출고 기록'!$D$2:$D$501,"입고")-SUMIFS('입출고 기록'!$E$2:$E$501,'입출고 기록'!$B$2:$B$501,A16,'입출고 기록'!$D$2:$D$501,"출고")+SUMIFS('입출고 기록'!$E$2:$E$501,'입출고 기록'!$B$2:$B$501,A16,'입출고 기록'!$D$2:$D$501,"조정"))</x:f>
      </x:c>
      <x:c r="H16" s="21"/>
      <x:c r="I16" s="21" t="str">
        <x:f>IF(OR(A16="",H16=""),"",H16-G16)</x:f>
      </x:c>
      <x:c r="J16" s="52"/>
      <x:c r="K16" s="52"/>
      <x:c r="L16" s="52" t="str">
        <x:f>IF(K16="","",EDATE(K16,6))</x:f>
      </x:c>
      <x:c r="M16" s="21" t="str">
        <x:f>IF(A16="","",IF(AND(ISNUMBER(J16),J16&lt;TODAY()),"교체/확인",IF(AND(ISNUMBER(J16),J16&lt;=TODAY()+30),"30일 내",IF(AND(ISNUMBER(L16),L16&lt;=TODAY()),"점검 필요","정상"))))</x:f>
      </x:c>
      <x:c r="N16" s="21"/>
    </x:row>
    <x:row r="17">
      <x:c r="A17" s="21"/>
      <x:c r="B17" s="21"/>
      <x:c r="C17" s="21"/>
      <x:c r="D17" s="21"/>
      <x:c r="E17" s="21"/>
      <x:c r="F17" s="21"/>
      <x:c r="G17" s="21" t="str">
        <x:f>IF(A17="","",F17+SUMIFS('입출고 기록'!$E$2:$E$501,'입출고 기록'!$B$2:$B$501,A17,'입출고 기록'!$D$2:$D$501,"입고")-SUMIFS('입출고 기록'!$E$2:$E$501,'입출고 기록'!$B$2:$B$501,A17,'입출고 기록'!$D$2:$D$501,"출고")+SUMIFS('입출고 기록'!$E$2:$E$501,'입출고 기록'!$B$2:$B$501,A17,'입출고 기록'!$D$2:$D$501,"조정"))</x:f>
      </x:c>
      <x:c r="H17" s="21"/>
      <x:c r="I17" s="21" t="str">
        <x:f>IF(OR(A17="",H17=""),"",H17-G17)</x:f>
      </x:c>
      <x:c r="J17" s="52"/>
      <x:c r="K17" s="52"/>
      <x:c r="L17" s="52" t="str">
        <x:f>IF(K17="","",EDATE(K17,6))</x:f>
      </x:c>
      <x:c r="M17" s="21" t="str">
        <x:f>IF(A17="","",IF(AND(ISNUMBER(J17),J17&lt;TODAY()),"교체/확인",IF(AND(ISNUMBER(J17),J17&lt;=TODAY()+30),"30일 내",IF(AND(ISNUMBER(L17),L17&lt;=TODAY()),"점검 필요","정상"))))</x:f>
      </x:c>
      <x:c r="N17" s="21"/>
    </x:row>
    <x:row r="18">
      <x:c r="A18" s="21"/>
      <x:c r="B18" s="21"/>
      <x:c r="C18" s="21"/>
      <x:c r="D18" s="21"/>
      <x:c r="E18" s="21"/>
      <x:c r="F18" s="21"/>
      <x:c r="G18" s="21" t="str">
        <x:f>IF(A18="","",F18+SUMIFS('입출고 기록'!$E$2:$E$501,'입출고 기록'!$B$2:$B$501,A18,'입출고 기록'!$D$2:$D$501,"입고")-SUMIFS('입출고 기록'!$E$2:$E$501,'입출고 기록'!$B$2:$B$501,A18,'입출고 기록'!$D$2:$D$501,"출고")+SUMIFS('입출고 기록'!$E$2:$E$501,'입출고 기록'!$B$2:$B$501,A18,'입출고 기록'!$D$2:$D$501,"조정"))</x:f>
      </x:c>
      <x:c r="H18" s="21"/>
      <x:c r="I18" s="21" t="str">
        <x:f>IF(OR(A18="",H18=""),"",H18-G18)</x:f>
      </x:c>
      <x:c r="J18" s="52"/>
      <x:c r="K18" s="52"/>
      <x:c r="L18" s="52" t="str">
        <x:f>IF(K18="","",EDATE(K18,6))</x:f>
      </x:c>
      <x:c r="M18" s="21" t="str">
        <x:f>IF(A18="","",IF(AND(ISNUMBER(J18),J18&lt;TODAY()),"교체/확인",IF(AND(ISNUMBER(J18),J18&lt;=TODAY()+30),"30일 내",IF(AND(ISNUMBER(L18),L18&lt;=TODAY()),"점검 필요","정상"))))</x:f>
      </x:c>
      <x:c r="N18" s="21"/>
    </x:row>
    <x:row r="19">
      <x:c r="A19" s="21"/>
      <x:c r="B19" s="21"/>
      <x:c r="C19" s="21"/>
      <x:c r="D19" s="21"/>
      <x:c r="E19" s="21"/>
      <x:c r="F19" s="21"/>
      <x:c r="G19" s="21" t="str">
        <x:f>IF(A19="","",F19+SUMIFS('입출고 기록'!$E$2:$E$501,'입출고 기록'!$B$2:$B$501,A19,'입출고 기록'!$D$2:$D$501,"입고")-SUMIFS('입출고 기록'!$E$2:$E$501,'입출고 기록'!$B$2:$B$501,A19,'입출고 기록'!$D$2:$D$501,"출고")+SUMIFS('입출고 기록'!$E$2:$E$501,'입출고 기록'!$B$2:$B$501,A19,'입출고 기록'!$D$2:$D$501,"조정"))</x:f>
      </x:c>
      <x:c r="H19" s="21"/>
      <x:c r="I19" s="21" t="str">
        <x:f>IF(OR(A19="",H19=""),"",H19-G19)</x:f>
      </x:c>
      <x:c r="J19" s="52"/>
      <x:c r="K19" s="52"/>
      <x:c r="L19" s="52" t="str">
        <x:f>IF(K19="","",EDATE(K19,6))</x:f>
      </x:c>
      <x:c r="M19" s="21" t="str">
        <x:f>IF(A19="","",IF(AND(ISNUMBER(J19),J19&lt;TODAY()),"교체/확인",IF(AND(ISNUMBER(J19),J19&lt;=TODAY()+30),"30일 내",IF(AND(ISNUMBER(L19),L19&lt;=TODAY()),"점검 필요","정상"))))</x:f>
      </x:c>
      <x:c r="N19" s="21"/>
    </x:row>
    <x:row r="20">
      <x:c r="A20" s="21"/>
      <x:c r="B20" s="21"/>
      <x:c r="C20" s="21"/>
      <x:c r="D20" s="21"/>
      <x:c r="E20" s="21"/>
      <x:c r="F20" s="21"/>
      <x:c r="G20" s="21" t="str">
        <x:f>IF(A20="","",F20+SUMIFS('입출고 기록'!$E$2:$E$501,'입출고 기록'!$B$2:$B$501,A20,'입출고 기록'!$D$2:$D$501,"입고")-SUMIFS('입출고 기록'!$E$2:$E$501,'입출고 기록'!$B$2:$B$501,A20,'입출고 기록'!$D$2:$D$501,"출고")+SUMIFS('입출고 기록'!$E$2:$E$501,'입출고 기록'!$B$2:$B$501,A20,'입출고 기록'!$D$2:$D$501,"조정"))</x:f>
      </x:c>
      <x:c r="H20" s="21"/>
      <x:c r="I20" s="21" t="str">
        <x:f>IF(OR(A20="",H20=""),"",H20-G20)</x:f>
      </x:c>
      <x:c r="J20" s="52"/>
      <x:c r="K20" s="52"/>
      <x:c r="L20" s="52" t="str">
        <x:f>IF(K20="","",EDATE(K20,6))</x:f>
      </x:c>
      <x:c r="M20" s="21" t="str">
        <x:f>IF(A20="","",IF(AND(ISNUMBER(J20),J20&lt;TODAY()),"교체/확인",IF(AND(ISNUMBER(J20),J20&lt;=TODAY()+30),"30일 내",IF(AND(ISNUMBER(L20),L20&lt;=TODAY()),"점검 필요","정상"))))</x:f>
      </x:c>
      <x:c r="N20" s="21"/>
    </x:row>
    <x:row r="21">
      <x:c r="A21" s="21"/>
      <x:c r="B21" s="21"/>
      <x:c r="C21" s="21"/>
      <x:c r="D21" s="21"/>
      <x:c r="E21" s="21"/>
      <x:c r="F21" s="21"/>
      <x:c r="G21" s="21" t="str">
        <x:f>IF(A21="","",F21+SUMIFS('입출고 기록'!$E$2:$E$501,'입출고 기록'!$B$2:$B$501,A21,'입출고 기록'!$D$2:$D$501,"입고")-SUMIFS('입출고 기록'!$E$2:$E$501,'입출고 기록'!$B$2:$B$501,A21,'입출고 기록'!$D$2:$D$501,"출고")+SUMIFS('입출고 기록'!$E$2:$E$501,'입출고 기록'!$B$2:$B$501,A21,'입출고 기록'!$D$2:$D$501,"조정"))</x:f>
      </x:c>
      <x:c r="H21" s="21"/>
      <x:c r="I21" s="21" t="str">
        <x:f>IF(OR(A21="",H21=""),"",H21-G21)</x:f>
      </x:c>
      <x:c r="J21" s="52"/>
      <x:c r="K21" s="52"/>
      <x:c r="L21" s="52" t="str">
        <x:f>IF(K21="","",EDATE(K21,6))</x:f>
      </x:c>
      <x:c r="M21" s="21" t="str">
        <x:f>IF(A21="","",IF(AND(ISNUMBER(J21),J21&lt;TODAY()),"교체/확인",IF(AND(ISNUMBER(J21),J21&lt;=TODAY()+30),"30일 내",IF(AND(ISNUMBER(L21),L21&lt;=TODAY()),"점검 필요","정상"))))</x:f>
      </x:c>
      <x:c r="N21" s="21"/>
    </x:row>
    <x:row r="22">
      <x:c r="A22" s="21"/>
      <x:c r="B22" s="21"/>
      <x:c r="C22" s="21"/>
      <x:c r="D22" s="21"/>
      <x:c r="E22" s="21"/>
      <x:c r="F22" s="21"/>
      <x:c r="G22" s="21" t="str">
        <x:f>IF(A22="","",F22+SUMIFS('입출고 기록'!$E$2:$E$501,'입출고 기록'!$B$2:$B$501,A22,'입출고 기록'!$D$2:$D$501,"입고")-SUMIFS('입출고 기록'!$E$2:$E$501,'입출고 기록'!$B$2:$B$501,A22,'입출고 기록'!$D$2:$D$501,"출고")+SUMIFS('입출고 기록'!$E$2:$E$501,'입출고 기록'!$B$2:$B$501,A22,'입출고 기록'!$D$2:$D$501,"조정"))</x:f>
      </x:c>
      <x:c r="H22" s="21"/>
      <x:c r="I22" s="21" t="str">
        <x:f>IF(OR(A22="",H22=""),"",H22-G22)</x:f>
      </x:c>
      <x:c r="J22" s="52"/>
      <x:c r="K22" s="52"/>
      <x:c r="L22" s="52" t="str">
        <x:f>IF(K22="","",EDATE(K22,6))</x:f>
      </x:c>
      <x:c r="M22" s="21" t="str">
        <x:f>IF(A22="","",IF(AND(ISNUMBER(J22),J22&lt;TODAY()),"교체/확인",IF(AND(ISNUMBER(J22),J22&lt;=TODAY()+30),"30일 내",IF(AND(ISNUMBER(L22),L22&lt;=TODAY()),"점검 필요","정상"))))</x:f>
      </x:c>
      <x:c r="N22" s="21"/>
    </x:row>
    <x:row r="23">
      <x:c r="A23" s="21"/>
      <x:c r="B23" s="21"/>
      <x:c r="C23" s="21"/>
      <x:c r="D23" s="21"/>
      <x:c r="E23" s="21"/>
      <x:c r="F23" s="21"/>
      <x:c r="G23" s="21" t="str">
        <x:f>IF(A23="","",F23+SUMIFS('입출고 기록'!$E$2:$E$501,'입출고 기록'!$B$2:$B$501,A23,'입출고 기록'!$D$2:$D$501,"입고")-SUMIFS('입출고 기록'!$E$2:$E$501,'입출고 기록'!$B$2:$B$501,A23,'입출고 기록'!$D$2:$D$501,"출고")+SUMIFS('입출고 기록'!$E$2:$E$501,'입출고 기록'!$B$2:$B$501,A23,'입출고 기록'!$D$2:$D$501,"조정"))</x:f>
      </x:c>
      <x:c r="H23" s="21"/>
      <x:c r="I23" s="21" t="str">
        <x:f>IF(OR(A23="",H23=""),"",H23-G23)</x:f>
      </x:c>
      <x:c r="J23" s="52"/>
      <x:c r="K23" s="52"/>
      <x:c r="L23" s="52" t="str">
        <x:f>IF(K23="","",EDATE(K23,6))</x:f>
      </x:c>
      <x:c r="M23" s="21" t="str">
        <x:f>IF(A23="","",IF(AND(ISNUMBER(J23),J23&lt;TODAY()),"교체/확인",IF(AND(ISNUMBER(J23),J23&lt;=TODAY()+30),"30일 내",IF(AND(ISNUMBER(L23),L23&lt;=TODAY()),"점검 필요","정상"))))</x:f>
      </x:c>
      <x:c r="N23" s="21"/>
    </x:row>
    <x:row r="24">
      <x:c r="A24" s="21"/>
      <x:c r="B24" s="21"/>
      <x:c r="C24" s="21"/>
      <x:c r="D24" s="21"/>
      <x:c r="E24" s="21"/>
      <x:c r="F24" s="21"/>
      <x:c r="G24" s="21" t="str">
        <x:f>IF(A24="","",F24+SUMIFS('입출고 기록'!$E$2:$E$501,'입출고 기록'!$B$2:$B$501,A24,'입출고 기록'!$D$2:$D$501,"입고")-SUMIFS('입출고 기록'!$E$2:$E$501,'입출고 기록'!$B$2:$B$501,A24,'입출고 기록'!$D$2:$D$501,"출고")+SUMIFS('입출고 기록'!$E$2:$E$501,'입출고 기록'!$B$2:$B$501,A24,'입출고 기록'!$D$2:$D$501,"조정"))</x:f>
      </x:c>
      <x:c r="H24" s="21"/>
      <x:c r="I24" s="21" t="str">
        <x:f>IF(OR(A24="",H24=""),"",H24-G24)</x:f>
      </x:c>
      <x:c r="J24" s="52"/>
      <x:c r="K24" s="52"/>
      <x:c r="L24" s="52" t="str">
        <x:f>IF(K24="","",EDATE(K24,6))</x:f>
      </x:c>
      <x:c r="M24" s="21" t="str">
        <x:f>IF(A24="","",IF(AND(ISNUMBER(J24),J24&lt;TODAY()),"교체/확인",IF(AND(ISNUMBER(J24),J24&lt;=TODAY()+30),"30일 내",IF(AND(ISNUMBER(L24),L24&lt;=TODAY()),"점검 필요","정상"))))</x:f>
      </x:c>
      <x:c r="N24" s="21"/>
    </x:row>
    <x:row r="25">
      <x:c r="A25" s="21"/>
      <x:c r="B25" s="21"/>
      <x:c r="C25" s="21"/>
      <x:c r="D25" s="21"/>
      <x:c r="E25" s="21"/>
      <x:c r="F25" s="21"/>
      <x:c r="G25" s="21" t="str">
        <x:f>IF(A25="","",F25+SUMIFS('입출고 기록'!$E$2:$E$501,'입출고 기록'!$B$2:$B$501,A25,'입출고 기록'!$D$2:$D$501,"입고")-SUMIFS('입출고 기록'!$E$2:$E$501,'입출고 기록'!$B$2:$B$501,A25,'입출고 기록'!$D$2:$D$501,"출고")+SUMIFS('입출고 기록'!$E$2:$E$501,'입출고 기록'!$B$2:$B$501,A25,'입출고 기록'!$D$2:$D$501,"조정"))</x:f>
      </x:c>
      <x:c r="H25" s="21"/>
      <x:c r="I25" s="21" t="str">
        <x:f>IF(OR(A25="",H25=""),"",H25-G25)</x:f>
      </x:c>
      <x:c r="J25" s="52"/>
      <x:c r="K25" s="52"/>
      <x:c r="L25" s="52" t="str">
        <x:f>IF(K25="","",EDATE(K25,6))</x:f>
      </x:c>
      <x:c r="M25" s="21" t="str">
        <x:f>IF(A25="","",IF(AND(ISNUMBER(J25),J25&lt;TODAY()),"교체/확인",IF(AND(ISNUMBER(J25),J25&lt;=TODAY()+30),"30일 내",IF(AND(ISNUMBER(L25),L25&lt;=TODAY()),"점검 필요","정상"))))</x:f>
      </x:c>
      <x:c r="N25" s="21"/>
    </x:row>
    <x:row r="26">
      <x:c r="A26" s="21"/>
      <x:c r="B26" s="21"/>
      <x:c r="C26" s="21"/>
      <x:c r="D26" s="21"/>
      <x:c r="E26" s="21"/>
      <x:c r="F26" s="21"/>
      <x:c r="G26" s="21" t="str">
        <x:f>IF(A26="","",F26+SUMIFS('입출고 기록'!$E$2:$E$501,'입출고 기록'!$B$2:$B$501,A26,'입출고 기록'!$D$2:$D$501,"입고")-SUMIFS('입출고 기록'!$E$2:$E$501,'입출고 기록'!$B$2:$B$501,A26,'입출고 기록'!$D$2:$D$501,"출고")+SUMIFS('입출고 기록'!$E$2:$E$501,'입출고 기록'!$B$2:$B$501,A26,'입출고 기록'!$D$2:$D$501,"조정"))</x:f>
      </x:c>
      <x:c r="H26" s="21"/>
      <x:c r="I26" s="21" t="str">
        <x:f>IF(OR(A26="",H26=""),"",H26-G26)</x:f>
      </x:c>
      <x:c r="J26" s="52"/>
      <x:c r="K26" s="52"/>
      <x:c r="L26" s="52" t="str">
        <x:f>IF(K26="","",EDATE(K26,6))</x:f>
      </x:c>
      <x:c r="M26" s="21" t="str">
        <x:f>IF(A26="","",IF(AND(ISNUMBER(J26),J26&lt;TODAY()),"교체/확인",IF(AND(ISNUMBER(J26),J26&lt;=TODAY()+30),"30일 내",IF(AND(ISNUMBER(L26),L26&lt;=TODAY()),"점검 필요","정상"))))</x:f>
      </x:c>
      <x:c r="N26" s="21"/>
    </x:row>
    <x:row r="27">
      <x:c r="A27" s="21"/>
      <x:c r="B27" s="21"/>
      <x:c r="C27" s="21"/>
      <x:c r="D27" s="21"/>
      <x:c r="E27" s="21"/>
      <x:c r="F27" s="21"/>
      <x:c r="G27" s="21" t="str">
        <x:f>IF(A27="","",F27+SUMIFS('입출고 기록'!$E$2:$E$501,'입출고 기록'!$B$2:$B$501,A27,'입출고 기록'!$D$2:$D$501,"입고")-SUMIFS('입출고 기록'!$E$2:$E$501,'입출고 기록'!$B$2:$B$501,A27,'입출고 기록'!$D$2:$D$501,"출고")+SUMIFS('입출고 기록'!$E$2:$E$501,'입출고 기록'!$B$2:$B$501,A27,'입출고 기록'!$D$2:$D$501,"조정"))</x:f>
      </x:c>
      <x:c r="H27" s="21"/>
      <x:c r="I27" s="21" t="str">
        <x:f>IF(OR(A27="",H27=""),"",H27-G27)</x:f>
      </x:c>
      <x:c r="J27" s="52"/>
      <x:c r="K27" s="52"/>
      <x:c r="L27" s="52" t="str">
        <x:f>IF(K27="","",EDATE(K27,6))</x:f>
      </x:c>
      <x:c r="M27" s="21" t="str">
        <x:f>IF(A27="","",IF(AND(ISNUMBER(J27),J27&lt;TODAY()),"교체/확인",IF(AND(ISNUMBER(J27),J27&lt;=TODAY()+30),"30일 내",IF(AND(ISNUMBER(L27),L27&lt;=TODAY()),"점검 필요","정상"))))</x:f>
      </x:c>
      <x:c r="N27" s="21"/>
    </x:row>
    <x:row r="28">
      <x:c r="A28" s="21"/>
      <x:c r="B28" s="21"/>
      <x:c r="C28" s="21"/>
      <x:c r="D28" s="21"/>
      <x:c r="E28" s="21"/>
      <x:c r="F28" s="21"/>
      <x:c r="G28" s="21" t="str">
        <x:f>IF(A28="","",F28+SUMIFS('입출고 기록'!$E$2:$E$501,'입출고 기록'!$B$2:$B$501,A28,'입출고 기록'!$D$2:$D$501,"입고")-SUMIFS('입출고 기록'!$E$2:$E$501,'입출고 기록'!$B$2:$B$501,A28,'입출고 기록'!$D$2:$D$501,"출고")+SUMIFS('입출고 기록'!$E$2:$E$501,'입출고 기록'!$B$2:$B$501,A28,'입출고 기록'!$D$2:$D$501,"조정"))</x:f>
      </x:c>
      <x:c r="H28" s="21"/>
      <x:c r="I28" s="21" t="str">
        <x:f>IF(OR(A28="",H28=""),"",H28-G28)</x:f>
      </x:c>
      <x:c r="J28" s="52"/>
      <x:c r="K28" s="52"/>
      <x:c r="L28" s="52" t="str">
        <x:f>IF(K28="","",EDATE(K28,6))</x:f>
      </x:c>
      <x:c r="M28" s="21" t="str">
        <x:f>IF(A28="","",IF(AND(ISNUMBER(J28),J28&lt;TODAY()),"교체/확인",IF(AND(ISNUMBER(J28),J28&lt;=TODAY()+30),"30일 내",IF(AND(ISNUMBER(L28),L28&lt;=TODAY()),"점검 필요","정상"))))</x:f>
      </x:c>
      <x:c r="N28" s="21"/>
    </x:row>
    <x:row r="29">
      <x:c r="A29" s="21"/>
      <x:c r="B29" s="21"/>
      <x:c r="C29" s="21"/>
      <x:c r="D29" s="21"/>
      <x:c r="E29" s="21"/>
      <x:c r="F29" s="21"/>
      <x:c r="G29" s="21" t="str">
        <x:f>IF(A29="","",F29+SUMIFS('입출고 기록'!$E$2:$E$501,'입출고 기록'!$B$2:$B$501,A29,'입출고 기록'!$D$2:$D$501,"입고")-SUMIFS('입출고 기록'!$E$2:$E$501,'입출고 기록'!$B$2:$B$501,A29,'입출고 기록'!$D$2:$D$501,"출고")+SUMIFS('입출고 기록'!$E$2:$E$501,'입출고 기록'!$B$2:$B$501,A29,'입출고 기록'!$D$2:$D$501,"조정"))</x:f>
      </x:c>
      <x:c r="H29" s="21"/>
      <x:c r="I29" s="21" t="str">
        <x:f>IF(OR(A29="",H29=""),"",H29-G29)</x:f>
      </x:c>
      <x:c r="J29" s="52"/>
      <x:c r="K29" s="52"/>
      <x:c r="L29" s="52" t="str">
        <x:f>IF(K29="","",EDATE(K29,6))</x:f>
      </x:c>
      <x:c r="M29" s="21" t="str">
        <x:f>IF(A29="","",IF(AND(ISNUMBER(J29),J29&lt;TODAY()),"교체/확인",IF(AND(ISNUMBER(J29),J29&lt;=TODAY()+30),"30일 내",IF(AND(ISNUMBER(L29),L29&lt;=TODAY()),"점검 필요","정상"))))</x:f>
      </x:c>
      <x:c r="N29" s="21"/>
    </x:row>
    <x:row r="30">
      <x:c r="A30" s="21"/>
      <x:c r="B30" s="21"/>
      <x:c r="C30" s="21"/>
      <x:c r="D30" s="21"/>
      <x:c r="E30" s="21"/>
      <x:c r="F30" s="21"/>
      <x:c r="G30" s="21" t="str">
        <x:f>IF(A30="","",F30+SUMIFS('입출고 기록'!$E$2:$E$501,'입출고 기록'!$B$2:$B$501,A30,'입출고 기록'!$D$2:$D$501,"입고")-SUMIFS('입출고 기록'!$E$2:$E$501,'입출고 기록'!$B$2:$B$501,A30,'입출고 기록'!$D$2:$D$501,"출고")+SUMIFS('입출고 기록'!$E$2:$E$501,'입출고 기록'!$B$2:$B$501,A30,'입출고 기록'!$D$2:$D$501,"조정"))</x:f>
      </x:c>
      <x:c r="H30" s="21"/>
      <x:c r="I30" s="21" t="str">
        <x:f>IF(OR(A30="",H30=""),"",H30-G30)</x:f>
      </x:c>
      <x:c r="J30" s="52"/>
      <x:c r="K30" s="52"/>
      <x:c r="L30" s="52" t="str">
        <x:f>IF(K30="","",EDATE(K30,6))</x:f>
      </x:c>
      <x:c r="M30" s="21" t="str">
        <x:f>IF(A30="","",IF(AND(ISNUMBER(J30),J30&lt;TODAY()),"교체/확인",IF(AND(ISNUMBER(J30),J30&lt;=TODAY()+30),"30일 내",IF(AND(ISNUMBER(L30),L30&lt;=TODAY()),"점검 필요","정상"))))</x:f>
      </x:c>
      <x:c r="N30" s="21"/>
    </x:row>
    <x:row r="31">
      <x:c r="A31" s="21"/>
      <x:c r="B31" s="21"/>
      <x:c r="C31" s="21"/>
      <x:c r="D31" s="21"/>
      <x:c r="E31" s="21"/>
      <x:c r="F31" s="21"/>
      <x:c r="G31" s="21" t="str">
        <x:f>IF(A31="","",F31+SUMIFS('입출고 기록'!$E$2:$E$501,'입출고 기록'!$B$2:$B$501,A31,'입출고 기록'!$D$2:$D$501,"입고")-SUMIFS('입출고 기록'!$E$2:$E$501,'입출고 기록'!$B$2:$B$501,A31,'입출고 기록'!$D$2:$D$501,"출고")+SUMIFS('입출고 기록'!$E$2:$E$501,'입출고 기록'!$B$2:$B$501,A31,'입출고 기록'!$D$2:$D$501,"조정"))</x:f>
      </x:c>
      <x:c r="H31" s="21"/>
      <x:c r="I31" s="21" t="str">
        <x:f>IF(OR(A31="",H31=""),"",H31-G31)</x:f>
      </x:c>
      <x:c r="J31" s="52"/>
      <x:c r="K31" s="52"/>
      <x:c r="L31" s="52" t="str">
        <x:f>IF(K31="","",EDATE(K31,6))</x:f>
      </x:c>
      <x:c r="M31" s="21" t="str">
        <x:f>IF(A31="","",IF(AND(ISNUMBER(J31),J31&lt;TODAY()),"교체/확인",IF(AND(ISNUMBER(J31),J31&lt;=TODAY()+30),"30일 내",IF(AND(ISNUMBER(L31),L31&lt;=TODAY()),"점검 필요","정상"))))</x:f>
      </x:c>
      <x:c r="N31" s="21"/>
    </x:row>
    <x:row r="32">
      <x:c r="A32" s="21"/>
      <x:c r="B32" s="21"/>
      <x:c r="C32" s="21"/>
      <x:c r="D32" s="21"/>
      <x:c r="E32" s="21"/>
      <x:c r="F32" s="21"/>
      <x:c r="G32" s="21" t="str">
        <x:f>IF(A32="","",F32+SUMIFS('입출고 기록'!$E$2:$E$501,'입출고 기록'!$B$2:$B$501,A32,'입출고 기록'!$D$2:$D$501,"입고")-SUMIFS('입출고 기록'!$E$2:$E$501,'입출고 기록'!$B$2:$B$501,A32,'입출고 기록'!$D$2:$D$501,"출고")+SUMIFS('입출고 기록'!$E$2:$E$501,'입출고 기록'!$B$2:$B$501,A32,'입출고 기록'!$D$2:$D$501,"조정"))</x:f>
      </x:c>
      <x:c r="H32" s="21"/>
      <x:c r="I32" s="21" t="str">
        <x:f>IF(OR(A32="",H32=""),"",H32-G32)</x:f>
      </x:c>
      <x:c r="J32" s="52"/>
      <x:c r="K32" s="52"/>
      <x:c r="L32" s="52" t="str">
        <x:f>IF(K32="","",EDATE(K32,6))</x:f>
      </x:c>
      <x:c r="M32" s="21" t="str">
        <x:f>IF(A32="","",IF(AND(ISNUMBER(J32),J32&lt;TODAY()),"교체/확인",IF(AND(ISNUMBER(J32),J32&lt;=TODAY()+30),"30일 내",IF(AND(ISNUMBER(L32),L32&lt;=TODAY()),"점검 필요","정상"))))</x:f>
      </x:c>
      <x:c r="N32" s="21"/>
    </x:row>
    <x:row r="33">
      <x:c r="A33" s="21"/>
      <x:c r="B33" s="21"/>
      <x:c r="C33" s="21"/>
      <x:c r="D33" s="21"/>
      <x:c r="E33" s="21"/>
      <x:c r="F33" s="21"/>
      <x:c r="G33" s="21" t="str">
        <x:f>IF(A33="","",F33+SUMIFS('입출고 기록'!$E$2:$E$501,'입출고 기록'!$B$2:$B$501,A33,'입출고 기록'!$D$2:$D$501,"입고")-SUMIFS('입출고 기록'!$E$2:$E$501,'입출고 기록'!$B$2:$B$501,A33,'입출고 기록'!$D$2:$D$501,"출고")+SUMIFS('입출고 기록'!$E$2:$E$501,'입출고 기록'!$B$2:$B$501,A33,'입출고 기록'!$D$2:$D$501,"조정"))</x:f>
      </x:c>
      <x:c r="H33" s="21"/>
      <x:c r="I33" s="21" t="str">
        <x:f>IF(OR(A33="",H33=""),"",H33-G33)</x:f>
      </x:c>
      <x:c r="J33" s="52"/>
      <x:c r="K33" s="52"/>
      <x:c r="L33" s="52" t="str">
        <x:f>IF(K33="","",EDATE(K33,6))</x:f>
      </x:c>
      <x:c r="M33" s="21" t="str">
        <x:f>IF(A33="","",IF(AND(ISNUMBER(J33),J33&lt;TODAY()),"교체/확인",IF(AND(ISNUMBER(J33),J33&lt;=TODAY()+30),"30일 내",IF(AND(ISNUMBER(L33),L33&lt;=TODAY()),"점검 필요","정상"))))</x:f>
      </x:c>
      <x:c r="N33" s="21"/>
    </x:row>
    <x:row r="34">
      <x:c r="A34" s="21"/>
      <x:c r="B34" s="21"/>
      <x:c r="C34" s="21"/>
      <x:c r="D34" s="21"/>
      <x:c r="E34" s="21"/>
      <x:c r="F34" s="21"/>
      <x:c r="G34" s="21" t="str">
        <x:f>IF(A34="","",F34+SUMIFS('입출고 기록'!$E$2:$E$501,'입출고 기록'!$B$2:$B$501,A34,'입출고 기록'!$D$2:$D$501,"입고")-SUMIFS('입출고 기록'!$E$2:$E$501,'입출고 기록'!$B$2:$B$501,A34,'입출고 기록'!$D$2:$D$501,"출고")+SUMIFS('입출고 기록'!$E$2:$E$501,'입출고 기록'!$B$2:$B$501,A34,'입출고 기록'!$D$2:$D$501,"조정"))</x:f>
      </x:c>
      <x:c r="H34" s="21"/>
      <x:c r="I34" s="21" t="str">
        <x:f>IF(OR(A34="",H34=""),"",H34-G34)</x:f>
      </x:c>
      <x:c r="J34" s="52"/>
      <x:c r="K34" s="52"/>
      <x:c r="L34" s="52" t="str">
        <x:f>IF(K34="","",EDATE(K34,6))</x:f>
      </x:c>
      <x:c r="M34" s="21" t="str">
        <x:f>IF(A34="","",IF(AND(ISNUMBER(J34),J34&lt;TODAY()),"교체/확인",IF(AND(ISNUMBER(J34),J34&lt;=TODAY()+30),"30일 내",IF(AND(ISNUMBER(L34),L34&lt;=TODAY()),"점검 필요","정상"))))</x:f>
      </x:c>
      <x:c r="N34" s="21"/>
    </x:row>
    <x:row r="35">
      <x:c r="A35" s="21"/>
      <x:c r="B35" s="21"/>
      <x:c r="C35" s="21"/>
      <x:c r="D35" s="21"/>
      <x:c r="E35" s="21"/>
      <x:c r="F35" s="21"/>
      <x:c r="G35" s="21" t="str">
        <x:f>IF(A35="","",F35+SUMIFS('입출고 기록'!$E$2:$E$501,'입출고 기록'!$B$2:$B$501,A35,'입출고 기록'!$D$2:$D$501,"입고")-SUMIFS('입출고 기록'!$E$2:$E$501,'입출고 기록'!$B$2:$B$501,A35,'입출고 기록'!$D$2:$D$501,"출고")+SUMIFS('입출고 기록'!$E$2:$E$501,'입출고 기록'!$B$2:$B$501,A35,'입출고 기록'!$D$2:$D$501,"조정"))</x:f>
      </x:c>
      <x:c r="H35" s="21"/>
      <x:c r="I35" s="21" t="str">
        <x:f>IF(OR(A35="",H35=""),"",H35-G35)</x:f>
      </x:c>
      <x:c r="J35" s="52"/>
      <x:c r="K35" s="52"/>
      <x:c r="L35" s="52" t="str">
        <x:f>IF(K35="","",EDATE(K35,6))</x:f>
      </x:c>
      <x:c r="M35" s="21" t="str">
        <x:f>IF(A35="","",IF(AND(ISNUMBER(J35),J35&lt;TODAY()),"교체/확인",IF(AND(ISNUMBER(J35),J35&lt;=TODAY()+30),"30일 내",IF(AND(ISNUMBER(L35),L35&lt;=TODAY()),"점검 필요","정상"))))</x:f>
      </x:c>
      <x:c r="N35" s="21"/>
    </x:row>
    <x:row r="36">
      <x:c r="A36" s="21"/>
      <x:c r="B36" s="21"/>
      <x:c r="C36" s="21"/>
      <x:c r="D36" s="21"/>
      <x:c r="E36" s="21"/>
      <x:c r="F36" s="21"/>
      <x:c r="G36" s="21" t="str">
        <x:f>IF(A36="","",F36+SUMIFS('입출고 기록'!$E$2:$E$501,'입출고 기록'!$B$2:$B$501,A36,'입출고 기록'!$D$2:$D$501,"입고")-SUMIFS('입출고 기록'!$E$2:$E$501,'입출고 기록'!$B$2:$B$501,A36,'입출고 기록'!$D$2:$D$501,"출고")+SUMIFS('입출고 기록'!$E$2:$E$501,'입출고 기록'!$B$2:$B$501,A36,'입출고 기록'!$D$2:$D$501,"조정"))</x:f>
      </x:c>
      <x:c r="H36" s="21"/>
      <x:c r="I36" s="21" t="str">
        <x:f>IF(OR(A36="",H36=""),"",H36-G36)</x:f>
      </x:c>
      <x:c r="J36" s="52"/>
      <x:c r="K36" s="52"/>
      <x:c r="L36" s="52" t="str">
        <x:f>IF(K36="","",EDATE(K36,6))</x:f>
      </x:c>
      <x:c r="M36" s="21" t="str">
        <x:f>IF(A36="","",IF(AND(ISNUMBER(J36),J36&lt;TODAY()),"교체/확인",IF(AND(ISNUMBER(J36),J36&lt;=TODAY()+30),"30일 내",IF(AND(ISNUMBER(L36),L36&lt;=TODAY()),"점검 필요","정상"))))</x:f>
      </x:c>
      <x:c r="N36" s="21"/>
    </x:row>
    <x:row r="37">
      <x:c r="A37" s="21"/>
      <x:c r="B37" s="21"/>
      <x:c r="C37" s="21"/>
      <x:c r="D37" s="21"/>
      <x:c r="E37" s="21"/>
      <x:c r="F37" s="21"/>
      <x:c r="G37" s="21" t="str">
        <x:f>IF(A37="","",F37+SUMIFS('입출고 기록'!$E$2:$E$501,'입출고 기록'!$B$2:$B$501,A37,'입출고 기록'!$D$2:$D$501,"입고")-SUMIFS('입출고 기록'!$E$2:$E$501,'입출고 기록'!$B$2:$B$501,A37,'입출고 기록'!$D$2:$D$501,"출고")+SUMIFS('입출고 기록'!$E$2:$E$501,'입출고 기록'!$B$2:$B$501,A37,'입출고 기록'!$D$2:$D$501,"조정"))</x:f>
      </x:c>
      <x:c r="H37" s="21"/>
      <x:c r="I37" s="21" t="str">
        <x:f>IF(OR(A37="",H37=""),"",H37-G37)</x:f>
      </x:c>
      <x:c r="J37" s="52"/>
      <x:c r="K37" s="52"/>
      <x:c r="L37" s="52" t="str">
        <x:f>IF(K37="","",EDATE(K37,6))</x:f>
      </x:c>
      <x:c r="M37" s="21" t="str">
        <x:f>IF(A37="","",IF(AND(ISNUMBER(J37),J37&lt;TODAY()),"교체/확인",IF(AND(ISNUMBER(J37),J37&lt;=TODAY()+30),"30일 내",IF(AND(ISNUMBER(L37),L37&lt;=TODAY()),"점검 필요","정상"))))</x:f>
      </x:c>
      <x:c r="N37" s="21"/>
    </x:row>
    <x:row r="38">
      <x:c r="A38" s="21"/>
      <x:c r="B38" s="21"/>
      <x:c r="C38" s="21"/>
      <x:c r="D38" s="21"/>
      <x:c r="E38" s="21"/>
      <x:c r="F38" s="21"/>
      <x:c r="G38" s="21" t="str">
        <x:f>IF(A38="","",F38+SUMIFS('입출고 기록'!$E$2:$E$501,'입출고 기록'!$B$2:$B$501,A38,'입출고 기록'!$D$2:$D$501,"입고")-SUMIFS('입출고 기록'!$E$2:$E$501,'입출고 기록'!$B$2:$B$501,A38,'입출고 기록'!$D$2:$D$501,"출고")+SUMIFS('입출고 기록'!$E$2:$E$501,'입출고 기록'!$B$2:$B$501,A38,'입출고 기록'!$D$2:$D$501,"조정"))</x:f>
      </x:c>
      <x:c r="H38" s="21"/>
      <x:c r="I38" s="21" t="str">
        <x:f>IF(OR(A38="",H38=""),"",H38-G38)</x:f>
      </x:c>
      <x:c r="J38" s="52"/>
      <x:c r="K38" s="52"/>
      <x:c r="L38" s="52" t="str">
        <x:f>IF(K38="","",EDATE(K38,6))</x:f>
      </x:c>
      <x:c r="M38" s="21" t="str">
        <x:f>IF(A38="","",IF(AND(ISNUMBER(J38),J38&lt;TODAY()),"교체/확인",IF(AND(ISNUMBER(J38),J38&lt;=TODAY()+30),"30일 내",IF(AND(ISNUMBER(L38),L38&lt;=TODAY()),"점검 필요","정상"))))</x:f>
      </x:c>
      <x:c r="N38" s="21"/>
    </x:row>
    <x:row r="39">
      <x:c r="A39" s="21"/>
      <x:c r="B39" s="21"/>
      <x:c r="C39" s="21"/>
      <x:c r="D39" s="21"/>
      <x:c r="E39" s="21"/>
      <x:c r="F39" s="21"/>
      <x:c r="G39" s="21" t="str">
        <x:f>IF(A39="","",F39+SUMIFS('입출고 기록'!$E$2:$E$501,'입출고 기록'!$B$2:$B$501,A39,'입출고 기록'!$D$2:$D$501,"입고")-SUMIFS('입출고 기록'!$E$2:$E$501,'입출고 기록'!$B$2:$B$501,A39,'입출고 기록'!$D$2:$D$501,"출고")+SUMIFS('입출고 기록'!$E$2:$E$501,'입출고 기록'!$B$2:$B$501,A39,'입출고 기록'!$D$2:$D$501,"조정"))</x:f>
      </x:c>
      <x:c r="H39" s="21"/>
      <x:c r="I39" s="21" t="str">
        <x:f>IF(OR(A39="",H39=""),"",H39-G39)</x:f>
      </x:c>
      <x:c r="J39" s="52"/>
      <x:c r="K39" s="52"/>
      <x:c r="L39" s="52" t="str">
        <x:f>IF(K39="","",EDATE(K39,6))</x:f>
      </x:c>
      <x:c r="M39" s="21" t="str">
        <x:f>IF(A39="","",IF(AND(ISNUMBER(J39),J39&lt;TODAY()),"교체/확인",IF(AND(ISNUMBER(J39),J39&lt;=TODAY()+30),"30일 내",IF(AND(ISNUMBER(L39),L39&lt;=TODAY()),"점검 필요","정상"))))</x:f>
      </x:c>
      <x:c r="N39" s="21"/>
    </x:row>
    <x:row r="40">
      <x:c r="A40" s="21"/>
      <x:c r="B40" s="21"/>
      <x:c r="C40" s="21"/>
      <x:c r="D40" s="21"/>
      <x:c r="E40" s="21"/>
      <x:c r="F40" s="21"/>
      <x:c r="G40" s="21" t="str">
        <x:f>IF(A40="","",F40+SUMIFS('입출고 기록'!$E$2:$E$501,'입출고 기록'!$B$2:$B$501,A40,'입출고 기록'!$D$2:$D$501,"입고")-SUMIFS('입출고 기록'!$E$2:$E$501,'입출고 기록'!$B$2:$B$501,A40,'입출고 기록'!$D$2:$D$501,"출고")+SUMIFS('입출고 기록'!$E$2:$E$501,'입출고 기록'!$B$2:$B$501,A40,'입출고 기록'!$D$2:$D$501,"조정"))</x:f>
      </x:c>
      <x:c r="H40" s="21"/>
      <x:c r="I40" s="21" t="str">
        <x:f>IF(OR(A40="",H40=""),"",H40-G40)</x:f>
      </x:c>
      <x:c r="J40" s="52"/>
      <x:c r="K40" s="52"/>
      <x:c r="L40" s="52" t="str">
        <x:f>IF(K40="","",EDATE(K40,6))</x:f>
      </x:c>
      <x:c r="M40" s="21" t="str">
        <x:f>IF(A40="","",IF(AND(ISNUMBER(J40),J40&lt;TODAY()),"교체/확인",IF(AND(ISNUMBER(J40),J40&lt;=TODAY()+30),"30일 내",IF(AND(ISNUMBER(L40),L40&lt;=TODAY()),"점검 필요","정상"))))</x:f>
      </x:c>
      <x:c r="N40" s="21"/>
    </x:row>
    <x:row r="41">
      <x:c r="A41" s="21"/>
      <x:c r="B41" s="21"/>
      <x:c r="C41" s="21"/>
      <x:c r="D41" s="21"/>
      <x:c r="E41" s="21"/>
      <x:c r="F41" s="21"/>
      <x:c r="G41" s="21" t="str">
        <x:f>IF(A41="","",F41+SUMIFS('입출고 기록'!$E$2:$E$501,'입출고 기록'!$B$2:$B$501,A41,'입출고 기록'!$D$2:$D$501,"입고")-SUMIFS('입출고 기록'!$E$2:$E$501,'입출고 기록'!$B$2:$B$501,A41,'입출고 기록'!$D$2:$D$501,"출고")+SUMIFS('입출고 기록'!$E$2:$E$501,'입출고 기록'!$B$2:$B$501,A41,'입출고 기록'!$D$2:$D$501,"조정"))</x:f>
      </x:c>
      <x:c r="H41" s="21"/>
      <x:c r="I41" s="21" t="str">
        <x:f>IF(OR(A41="",H41=""),"",H41-G41)</x:f>
      </x:c>
      <x:c r="J41" s="52"/>
      <x:c r="K41" s="52"/>
      <x:c r="L41" s="52" t="str">
        <x:f>IF(K41="","",EDATE(K41,6))</x:f>
      </x:c>
      <x:c r="M41" s="21" t="str">
        <x:f>IF(A41="","",IF(AND(ISNUMBER(J41),J41&lt;TODAY()),"교체/확인",IF(AND(ISNUMBER(J41),J41&lt;=TODAY()+30),"30일 내",IF(AND(ISNUMBER(L41),L41&lt;=TODAY()),"점검 필요","정상"))))</x:f>
      </x:c>
      <x:c r="N41" s="21"/>
    </x:row>
    <x:row r="42">
      <x:c r="A42" s="21"/>
      <x:c r="B42" s="21"/>
      <x:c r="C42" s="21"/>
      <x:c r="D42" s="21"/>
      <x:c r="E42" s="21"/>
      <x:c r="F42" s="21"/>
      <x:c r="G42" s="21" t="str">
        <x:f>IF(A42="","",F42+SUMIFS('입출고 기록'!$E$2:$E$501,'입출고 기록'!$B$2:$B$501,A42,'입출고 기록'!$D$2:$D$501,"입고")-SUMIFS('입출고 기록'!$E$2:$E$501,'입출고 기록'!$B$2:$B$501,A42,'입출고 기록'!$D$2:$D$501,"출고")+SUMIFS('입출고 기록'!$E$2:$E$501,'입출고 기록'!$B$2:$B$501,A42,'입출고 기록'!$D$2:$D$501,"조정"))</x:f>
      </x:c>
      <x:c r="H42" s="21"/>
      <x:c r="I42" s="21" t="str">
        <x:f>IF(OR(A42="",H42=""),"",H42-G42)</x:f>
      </x:c>
      <x:c r="J42" s="52"/>
      <x:c r="K42" s="52"/>
      <x:c r="L42" s="52" t="str">
        <x:f>IF(K42="","",EDATE(K42,6))</x:f>
      </x:c>
      <x:c r="M42" s="21" t="str">
        <x:f>IF(A42="","",IF(AND(ISNUMBER(J42),J42&lt;TODAY()),"교체/확인",IF(AND(ISNUMBER(J42),J42&lt;=TODAY()+30),"30일 내",IF(AND(ISNUMBER(L42),L42&lt;=TODAY()),"점검 필요","정상"))))</x:f>
      </x:c>
      <x:c r="N42" s="21"/>
    </x:row>
    <x:row r="43">
      <x:c r="A43" s="21"/>
      <x:c r="B43" s="21"/>
      <x:c r="C43" s="21"/>
      <x:c r="D43" s="21"/>
      <x:c r="E43" s="21"/>
      <x:c r="F43" s="21"/>
      <x:c r="G43" s="21" t="str">
        <x:f>IF(A43="","",F43+SUMIFS('입출고 기록'!$E$2:$E$501,'입출고 기록'!$B$2:$B$501,A43,'입출고 기록'!$D$2:$D$501,"입고")-SUMIFS('입출고 기록'!$E$2:$E$501,'입출고 기록'!$B$2:$B$501,A43,'입출고 기록'!$D$2:$D$501,"출고")+SUMIFS('입출고 기록'!$E$2:$E$501,'입출고 기록'!$B$2:$B$501,A43,'입출고 기록'!$D$2:$D$501,"조정"))</x:f>
      </x:c>
      <x:c r="H43" s="21"/>
      <x:c r="I43" s="21" t="str">
        <x:f>IF(OR(A43="",H43=""),"",H43-G43)</x:f>
      </x:c>
      <x:c r="J43" s="52"/>
      <x:c r="K43" s="52"/>
      <x:c r="L43" s="52" t="str">
        <x:f>IF(K43="","",EDATE(K43,6))</x:f>
      </x:c>
      <x:c r="M43" s="21" t="str">
        <x:f>IF(A43="","",IF(AND(ISNUMBER(J43),J43&lt;TODAY()),"교체/확인",IF(AND(ISNUMBER(J43),J43&lt;=TODAY()+30),"30일 내",IF(AND(ISNUMBER(L43),L43&lt;=TODAY()),"점검 필요","정상"))))</x:f>
      </x:c>
      <x:c r="N43" s="21"/>
    </x:row>
    <x:row r="44">
      <x:c r="A44" s="21"/>
      <x:c r="B44" s="21"/>
      <x:c r="C44" s="21"/>
      <x:c r="D44" s="21"/>
      <x:c r="E44" s="21"/>
      <x:c r="F44" s="21"/>
      <x:c r="G44" s="21" t="str">
        <x:f>IF(A44="","",F44+SUMIFS('입출고 기록'!$E$2:$E$501,'입출고 기록'!$B$2:$B$501,A44,'입출고 기록'!$D$2:$D$501,"입고")-SUMIFS('입출고 기록'!$E$2:$E$501,'입출고 기록'!$B$2:$B$501,A44,'입출고 기록'!$D$2:$D$501,"출고")+SUMIFS('입출고 기록'!$E$2:$E$501,'입출고 기록'!$B$2:$B$501,A44,'입출고 기록'!$D$2:$D$501,"조정"))</x:f>
      </x:c>
      <x:c r="H44" s="21"/>
      <x:c r="I44" s="21" t="str">
        <x:f>IF(OR(A44="",H44=""),"",H44-G44)</x:f>
      </x:c>
      <x:c r="J44" s="52"/>
      <x:c r="K44" s="52"/>
      <x:c r="L44" s="52" t="str">
        <x:f>IF(K44="","",EDATE(K44,6))</x:f>
      </x:c>
      <x:c r="M44" s="21" t="str">
        <x:f>IF(A44="","",IF(AND(ISNUMBER(J44),J44&lt;TODAY()),"교체/확인",IF(AND(ISNUMBER(J44),J44&lt;=TODAY()+30),"30일 내",IF(AND(ISNUMBER(L44),L44&lt;=TODAY()),"점검 필요","정상"))))</x:f>
      </x:c>
      <x:c r="N44" s="21"/>
    </x:row>
    <x:row r="45">
      <x:c r="A45" s="21"/>
      <x:c r="B45" s="21"/>
      <x:c r="C45" s="21"/>
      <x:c r="D45" s="21"/>
      <x:c r="E45" s="21"/>
      <x:c r="F45" s="21"/>
      <x:c r="G45" s="21" t="str">
        <x:f>IF(A45="","",F45+SUMIFS('입출고 기록'!$E$2:$E$501,'입출고 기록'!$B$2:$B$501,A45,'입출고 기록'!$D$2:$D$501,"입고")-SUMIFS('입출고 기록'!$E$2:$E$501,'입출고 기록'!$B$2:$B$501,A45,'입출고 기록'!$D$2:$D$501,"출고")+SUMIFS('입출고 기록'!$E$2:$E$501,'입출고 기록'!$B$2:$B$501,A45,'입출고 기록'!$D$2:$D$501,"조정"))</x:f>
      </x:c>
      <x:c r="H45" s="21"/>
      <x:c r="I45" s="21" t="str">
        <x:f>IF(OR(A45="",H45=""),"",H45-G45)</x:f>
      </x:c>
      <x:c r="J45" s="52"/>
      <x:c r="K45" s="52"/>
      <x:c r="L45" s="52" t="str">
        <x:f>IF(K45="","",EDATE(K45,6))</x:f>
      </x:c>
      <x:c r="M45" s="21" t="str">
        <x:f>IF(A45="","",IF(AND(ISNUMBER(J45),J45&lt;TODAY()),"교체/확인",IF(AND(ISNUMBER(J45),J45&lt;=TODAY()+30),"30일 내",IF(AND(ISNUMBER(L45),L45&lt;=TODAY()),"점검 필요","정상"))))</x:f>
      </x:c>
      <x:c r="N45" s="21"/>
    </x:row>
    <x:row r="46">
      <x:c r="A46" s="21"/>
      <x:c r="B46" s="21"/>
      <x:c r="C46" s="21"/>
      <x:c r="D46" s="21"/>
      <x:c r="E46" s="21"/>
      <x:c r="F46" s="21"/>
      <x:c r="G46" s="21" t="str">
        <x:f>IF(A46="","",F46+SUMIFS('입출고 기록'!$E$2:$E$501,'입출고 기록'!$B$2:$B$501,A46,'입출고 기록'!$D$2:$D$501,"입고")-SUMIFS('입출고 기록'!$E$2:$E$501,'입출고 기록'!$B$2:$B$501,A46,'입출고 기록'!$D$2:$D$501,"출고")+SUMIFS('입출고 기록'!$E$2:$E$501,'입출고 기록'!$B$2:$B$501,A46,'입출고 기록'!$D$2:$D$501,"조정"))</x:f>
      </x:c>
      <x:c r="H46" s="21"/>
      <x:c r="I46" s="21" t="str">
        <x:f>IF(OR(A46="",H46=""),"",H46-G46)</x:f>
      </x:c>
      <x:c r="J46" s="52"/>
      <x:c r="K46" s="52"/>
      <x:c r="L46" s="52" t="str">
        <x:f>IF(K46="","",EDATE(K46,6))</x:f>
      </x:c>
      <x:c r="M46" s="21" t="str">
        <x:f>IF(A46="","",IF(AND(ISNUMBER(J46),J46&lt;TODAY()),"교체/확인",IF(AND(ISNUMBER(J46),J46&lt;=TODAY()+30),"30일 내",IF(AND(ISNUMBER(L46),L46&lt;=TODAY()),"점검 필요","정상"))))</x:f>
      </x:c>
      <x:c r="N46" s="21"/>
    </x:row>
    <x:row r="47">
      <x:c r="A47" s="21"/>
      <x:c r="B47" s="21"/>
      <x:c r="C47" s="21"/>
      <x:c r="D47" s="21"/>
      <x:c r="E47" s="21"/>
      <x:c r="F47" s="21"/>
      <x:c r="G47" s="21" t="str">
        <x:f>IF(A47="","",F47+SUMIFS('입출고 기록'!$E$2:$E$501,'입출고 기록'!$B$2:$B$501,A47,'입출고 기록'!$D$2:$D$501,"입고")-SUMIFS('입출고 기록'!$E$2:$E$501,'입출고 기록'!$B$2:$B$501,A47,'입출고 기록'!$D$2:$D$501,"출고")+SUMIFS('입출고 기록'!$E$2:$E$501,'입출고 기록'!$B$2:$B$501,A47,'입출고 기록'!$D$2:$D$501,"조정"))</x:f>
      </x:c>
      <x:c r="H47" s="21"/>
      <x:c r="I47" s="21" t="str">
        <x:f>IF(OR(A47="",H47=""),"",H47-G47)</x:f>
      </x:c>
      <x:c r="J47" s="52"/>
      <x:c r="K47" s="52"/>
      <x:c r="L47" s="52" t="str">
        <x:f>IF(K47="","",EDATE(K47,6))</x:f>
      </x:c>
      <x:c r="M47" s="21" t="str">
        <x:f>IF(A47="","",IF(AND(ISNUMBER(J47),J47&lt;TODAY()),"교체/확인",IF(AND(ISNUMBER(J47),J47&lt;=TODAY()+30),"30일 내",IF(AND(ISNUMBER(L47),L47&lt;=TODAY()),"점검 필요","정상"))))</x:f>
      </x:c>
      <x:c r="N47" s="21"/>
    </x:row>
    <x:row r="48">
      <x:c r="A48" s="21"/>
      <x:c r="B48" s="21"/>
      <x:c r="C48" s="21"/>
      <x:c r="D48" s="21"/>
      <x:c r="E48" s="21"/>
      <x:c r="F48" s="21"/>
      <x:c r="G48" s="21" t="str">
        <x:f>IF(A48="","",F48+SUMIFS('입출고 기록'!$E$2:$E$501,'입출고 기록'!$B$2:$B$501,A48,'입출고 기록'!$D$2:$D$501,"입고")-SUMIFS('입출고 기록'!$E$2:$E$501,'입출고 기록'!$B$2:$B$501,A48,'입출고 기록'!$D$2:$D$501,"출고")+SUMIFS('입출고 기록'!$E$2:$E$501,'입출고 기록'!$B$2:$B$501,A48,'입출고 기록'!$D$2:$D$501,"조정"))</x:f>
      </x:c>
      <x:c r="H48" s="21"/>
      <x:c r="I48" s="21" t="str">
        <x:f>IF(OR(A48="",H48=""),"",H48-G48)</x:f>
      </x:c>
      <x:c r="J48" s="52"/>
      <x:c r="K48" s="52"/>
      <x:c r="L48" s="52" t="str">
        <x:f>IF(K48="","",EDATE(K48,6))</x:f>
      </x:c>
      <x:c r="M48" s="21" t="str">
        <x:f>IF(A48="","",IF(AND(ISNUMBER(J48),J48&lt;TODAY()),"교체/확인",IF(AND(ISNUMBER(J48),J48&lt;=TODAY()+30),"30일 내",IF(AND(ISNUMBER(L48),L48&lt;=TODAY()),"점검 필요","정상"))))</x:f>
      </x:c>
      <x:c r="N48" s="21"/>
    </x:row>
    <x:row r="49">
      <x:c r="A49" s="21"/>
      <x:c r="B49" s="21"/>
      <x:c r="C49" s="21"/>
      <x:c r="D49" s="21"/>
      <x:c r="E49" s="21"/>
      <x:c r="F49" s="21"/>
      <x:c r="G49" s="21" t="str">
        <x:f>IF(A49="","",F49+SUMIFS('입출고 기록'!$E$2:$E$501,'입출고 기록'!$B$2:$B$501,A49,'입출고 기록'!$D$2:$D$501,"입고")-SUMIFS('입출고 기록'!$E$2:$E$501,'입출고 기록'!$B$2:$B$501,A49,'입출고 기록'!$D$2:$D$501,"출고")+SUMIFS('입출고 기록'!$E$2:$E$501,'입출고 기록'!$B$2:$B$501,A49,'입출고 기록'!$D$2:$D$501,"조정"))</x:f>
      </x:c>
      <x:c r="H49" s="21"/>
      <x:c r="I49" s="21" t="str">
        <x:f>IF(OR(A49="",H49=""),"",H49-G49)</x:f>
      </x:c>
      <x:c r="J49" s="52"/>
      <x:c r="K49" s="52"/>
      <x:c r="L49" s="52" t="str">
        <x:f>IF(K49="","",EDATE(K49,6))</x:f>
      </x:c>
      <x:c r="M49" s="21" t="str">
        <x:f>IF(A49="","",IF(AND(ISNUMBER(J49),J49&lt;TODAY()),"교체/확인",IF(AND(ISNUMBER(J49),J49&lt;=TODAY()+30),"30일 내",IF(AND(ISNUMBER(L49),L49&lt;=TODAY()),"점검 필요","정상"))))</x:f>
      </x:c>
      <x:c r="N49" s="21"/>
    </x:row>
    <x:row r="50">
      <x:c r="A50" s="21"/>
      <x:c r="B50" s="21"/>
      <x:c r="C50" s="21"/>
      <x:c r="D50" s="21"/>
      <x:c r="E50" s="21"/>
      <x:c r="F50" s="21"/>
      <x:c r="G50" s="21" t="str">
        <x:f>IF(A50="","",F50+SUMIFS('입출고 기록'!$E$2:$E$501,'입출고 기록'!$B$2:$B$501,A50,'입출고 기록'!$D$2:$D$501,"입고")-SUMIFS('입출고 기록'!$E$2:$E$501,'입출고 기록'!$B$2:$B$501,A50,'입출고 기록'!$D$2:$D$501,"출고")+SUMIFS('입출고 기록'!$E$2:$E$501,'입출고 기록'!$B$2:$B$501,A50,'입출고 기록'!$D$2:$D$501,"조정"))</x:f>
      </x:c>
      <x:c r="H50" s="21"/>
      <x:c r="I50" s="21" t="str">
        <x:f>IF(OR(A50="",H50=""),"",H50-G50)</x:f>
      </x:c>
      <x:c r="J50" s="52"/>
      <x:c r="K50" s="52"/>
      <x:c r="L50" s="52" t="str">
        <x:f>IF(K50="","",EDATE(K50,6))</x:f>
      </x:c>
      <x:c r="M50" s="21" t="str">
        <x:f>IF(A50="","",IF(AND(ISNUMBER(J50),J50&lt;TODAY()),"교체/확인",IF(AND(ISNUMBER(J50),J50&lt;=TODAY()+30),"30일 내",IF(AND(ISNUMBER(L50),L50&lt;=TODAY()),"점검 필요","정상"))))</x:f>
      </x:c>
      <x:c r="N50" s="21"/>
    </x:row>
    <x:row r="51">
      <x:c r="A51" s="21"/>
      <x:c r="B51" s="21"/>
      <x:c r="C51" s="21"/>
      <x:c r="D51" s="21"/>
      <x:c r="E51" s="21"/>
      <x:c r="F51" s="21"/>
      <x:c r="G51" s="21" t="str">
        <x:f>IF(A51="","",F51+SUMIFS('입출고 기록'!$E$2:$E$501,'입출고 기록'!$B$2:$B$501,A51,'입출고 기록'!$D$2:$D$501,"입고")-SUMIFS('입출고 기록'!$E$2:$E$501,'입출고 기록'!$B$2:$B$501,A51,'입출고 기록'!$D$2:$D$501,"출고")+SUMIFS('입출고 기록'!$E$2:$E$501,'입출고 기록'!$B$2:$B$501,A51,'입출고 기록'!$D$2:$D$501,"조정"))</x:f>
      </x:c>
      <x:c r="H51" s="21"/>
      <x:c r="I51" s="21" t="str">
        <x:f>IF(OR(A51="",H51=""),"",H51-G51)</x:f>
      </x:c>
      <x:c r="J51" s="52"/>
      <x:c r="K51" s="52"/>
      <x:c r="L51" s="52" t="str">
        <x:f>IF(K51="","",EDATE(K51,6))</x:f>
      </x:c>
      <x:c r="M51" s="21" t="str">
        <x:f>IF(A51="","",IF(AND(ISNUMBER(J51),J51&lt;TODAY()),"교체/확인",IF(AND(ISNUMBER(J51),J51&lt;=TODAY()+30),"30일 내",IF(AND(ISNUMBER(L51),L51&lt;=TODAY()),"점검 필요","정상"))))</x:f>
      </x:c>
      <x:c r="N51" s="21"/>
    </x:row>
    <x:row r="52">
      <x:c r="A52" s="21"/>
      <x:c r="B52" s="21"/>
      <x:c r="C52" s="21"/>
      <x:c r="D52" s="21"/>
      <x:c r="E52" s="21"/>
      <x:c r="F52" s="21"/>
      <x:c r="G52" s="21" t="str">
        <x:f>IF(A52="","",F52+SUMIFS('입출고 기록'!$E$2:$E$501,'입출고 기록'!$B$2:$B$501,A52,'입출고 기록'!$D$2:$D$501,"입고")-SUMIFS('입출고 기록'!$E$2:$E$501,'입출고 기록'!$B$2:$B$501,A52,'입출고 기록'!$D$2:$D$501,"출고")+SUMIFS('입출고 기록'!$E$2:$E$501,'입출고 기록'!$B$2:$B$501,A52,'입출고 기록'!$D$2:$D$501,"조정"))</x:f>
      </x:c>
      <x:c r="H52" s="21"/>
      <x:c r="I52" s="21" t="str">
        <x:f>IF(OR(A52="",H52=""),"",H52-G52)</x:f>
      </x:c>
      <x:c r="J52" s="52"/>
      <x:c r="K52" s="52"/>
      <x:c r="L52" s="52" t="str">
        <x:f>IF(K52="","",EDATE(K52,6))</x:f>
      </x:c>
      <x:c r="M52" s="21" t="str">
        <x:f>IF(A52="","",IF(AND(ISNUMBER(J52),J52&lt;TODAY()),"교체/확인",IF(AND(ISNUMBER(J52),J52&lt;=TODAY()+30),"30일 내",IF(AND(ISNUMBER(L52),L52&lt;=TODAY()),"점검 필요","정상"))))</x:f>
      </x:c>
      <x:c r="N52" s="21"/>
    </x:row>
    <x:row r="53">
      <x:c r="A53" s="21"/>
      <x:c r="B53" s="21"/>
      <x:c r="C53" s="21"/>
      <x:c r="D53" s="21"/>
      <x:c r="E53" s="21"/>
      <x:c r="F53" s="21"/>
      <x:c r="G53" s="21" t="str">
        <x:f>IF(A53="","",F53+SUMIFS('입출고 기록'!$E$2:$E$501,'입출고 기록'!$B$2:$B$501,A53,'입출고 기록'!$D$2:$D$501,"입고")-SUMIFS('입출고 기록'!$E$2:$E$501,'입출고 기록'!$B$2:$B$501,A53,'입출고 기록'!$D$2:$D$501,"출고")+SUMIFS('입출고 기록'!$E$2:$E$501,'입출고 기록'!$B$2:$B$501,A53,'입출고 기록'!$D$2:$D$501,"조정"))</x:f>
      </x:c>
      <x:c r="H53" s="21"/>
      <x:c r="I53" s="21" t="str">
        <x:f>IF(OR(A53="",H53=""),"",H53-G53)</x:f>
      </x:c>
      <x:c r="J53" s="52"/>
      <x:c r="K53" s="52"/>
      <x:c r="L53" s="52" t="str">
        <x:f>IF(K53="","",EDATE(K53,6))</x:f>
      </x:c>
      <x:c r="M53" s="21" t="str">
        <x:f>IF(A53="","",IF(AND(ISNUMBER(J53),J53&lt;TODAY()),"교체/확인",IF(AND(ISNUMBER(J53),J53&lt;=TODAY()+30),"30일 내",IF(AND(ISNUMBER(L53),L53&lt;=TODAY()),"점검 필요","정상"))))</x:f>
      </x:c>
      <x:c r="N53" s="21"/>
    </x:row>
    <x:row r="54">
      <x:c r="A54" s="21"/>
      <x:c r="B54" s="21"/>
      <x:c r="C54" s="21"/>
      <x:c r="D54" s="21"/>
      <x:c r="E54" s="21"/>
      <x:c r="F54" s="21"/>
      <x:c r="G54" s="21" t="str">
        <x:f>IF(A54="","",F54+SUMIFS('입출고 기록'!$E$2:$E$501,'입출고 기록'!$B$2:$B$501,A54,'입출고 기록'!$D$2:$D$501,"입고")-SUMIFS('입출고 기록'!$E$2:$E$501,'입출고 기록'!$B$2:$B$501,A54,'입출고 기록'!$D$2:$D$501,"출고")+SUMIFS('입출고 기록'!$E$2:$E$501,'입출고 기록'!$B$2:$B$501,A54,'입출고 기록'!$D$2:$D$501,"조정"))</x:f>
      </x:c>
      <x:c r="H54" s="21"/>
      <x:c r="I54" s="21" t="str">
        <x:f>IF(OR(A54="",H54=""),"",H54-G54)</x:f>
      </x:c>
      <x:c r="J54" s="52"/>
      <x:c r="K54" s="52"/>
      <x:c r="L54" s="52" t="str">
        <x:f>IF(K54="","",EDATE(K54,6))</x:f>
      </x:c>
      <x:c r="M54" s="21" t="str">
        <x:f>IF(A54="","",IF(AND(ISNUMBER(J54),J54&lt;TODAY()),"교체/확인",IF(AND(ISNUMBER(J54),J54&lt;=TODAY()+30),"30일 내",IF(AND(ISNUMBER(L54),L54&lt;=TODAY()),"점검 필요","정상"))))</x:f>
      </x:c>
      <x:c r="N54" s="21"/>
    </x:row>
    <x:row r="55">
      <x:c r="A55" s="21"/>
      <x:c r="B55" s="21"/>
      <x:c r="C55" s="21"/>
      <x:c r="D55" s="21"/>
      <x:c r="E55" s="21"/>
      <x:c r="F55" s="21"/>
      <x:c r="G55" s="21" t="str">
        <x:f>IF(A55="","",F55+SUMIFS('입출고 기록'!$E$2:$E$501,'입출고 기록'!$B$2:$B$501,A55,'입출고 기록'!$D$2:$D$501,"입고")-SUMIFS('입출고 기록'!$E$2:$E$501,'입출고 기록'!$B$2:$B$501,A55,'입출고 기록'!$D$2:$D$501,"출고")+SUMIFS('입출고 기록'!$E$2:$E$501,'입출고 기록'!$B$2:$B$501,A55,'입출고 기록'!$D$2:$D$501,"조정"))</x:f>
      </x:c>
      <x:c r="H55" s="21"/>
      <x:c r="I55" s="21" t="str">
        <x:f>IF(OR(A55="",H55=""),"",H55-G55)</x:f>
      </x:c>
      <x:c r="J55" s="52"/>
      <x:c r="K55" s="52"/>
      <x:c r="L55" s="52" t="str">
        <x:f>IF(K55="","",EDATE(K55,6))</x:f>
      </x:c>
      <x:c r="M55" s="21" t="str">
        <x:f>IF(A55="","",IF(AND(ISNUMBER(J55),J55&lt;TODAY()),"교체/확인",IF(AND(ISNUMBER(J55),J55&lt;=TODAY()+30),"30일 내",IF(AND(ISNUMBER(L55),L55&lt;=TODAY()),"점검 필요","정상"))))</x:f>
      </x:c>
      <x:c r="N55" s="21"/>
    </x:row>
    <x:row r="56">
      <x:c r="A56" s="21"/>
      <x:c r="B56" s="21"/>
      <x:c r="C56" s="21"/>
      <x:c r="D56" s="21"/>
      <x:c r="E56" s="21"/>
      <x:c r="F56" s="21"/>
      <x:c r="G56" s="21" t="str">
        <x:f>IF(A56="","",F56+SUMIFS('입출고 기록'!$E$2:$E$501,'입출고 기록'!$B$2:$B$501,A56,'입출고 기록'!$D$2:$D$501,"입고")-SUMIFS('입출고 기록'!$E$2:$E$501,'입출고 기록'!$B$2:$B$501,A56,'입출고 기록'!$D$2:$D$501,"출고")+SUMIFS('입출고 기록'!$E$2:$E$501,'입출고 기록'!$B$2:$B$501,A56,'입출고 기록'!$D$2:$D$501,"조정"))</x:f>
      </x:c>
      <x:c r="H56" s="21"/>
      <x:c r="I56" s="21" t="str">
        <x:f>IF(OR(A56="",H56=""),"",H56-G56)</x:f>
      </x:c>
      <x:c r="J56" s="52"/>
      <x:c r="K56" s="52"/>
      <x:c r="L56" s="52" t="str">
        <x:f>IF(K56="","",EDATE(K56,6))</x:f>
      </x:c>
      <x:c r="M56" s="21" t="str">
        <x:f>IF(A56="","",IF(AND(ISNUMBER(J56),J56&lt;TODAY()),"교체/확인",IF(AND(ISNUMBER(J56),J56&lt;=TODAY()+30),"30일 내",IF(AND(ISNUMBER(L56),L56&lt;=TODAY()),"점검 필요","정상"))))</x:f>
      </x:c>
      <x:c r="N56" s="21"/>
    </x:row>
    <x:row r="57">
      <x:c r="A57" s="21"/>
      <x:c r="B57" s="21"/>
      <x:c r="C57" s="21"/>
      <x:c r="D57" s="21"/>
      <x:c r="E57" s="21"/>
      <x:c r="F57" s="21"/>
      <x:c r="G57" s="21" t="str">
        <x:f>IF(A57="","",F57+SUMIFS('입출고 기록'!$E$2:$E$501,'입출고 기록'!$B$2:$B$501,A57,'입출고 기록'!$D$2:$D$501,"입고")-SUMIFS('입출고 기록'!$E$2:$E$501,'입출고 기록'!$B$2:$B$501,A57,'입출고 기록'!$D$2:$D$501,"출고")+SUMIFS('입출고 기록'!$E$2:$E$501,'입출고 기록'!$B$2:$B$501,A57,'입출고 기록'!$D$2:$D$501,"조정"))</x:f>
      </x:c>
      <x:c r="H57" s="21"/>
      <x:c r="I57" s="21" t="str">
        <x:f>IF(OR(A57="",H57=""),"",H57-G57)</x:f>
      </x:c>
      <x:c r="J57" s="52"/>
      <x:c r="K57" s="52"/>
      <x:c r="L57" s="52" t="str">
        <x:f>IF(K57="","",EDATE(K57,6))</x:f>
      </x:c>
      <x:c r="M57" s="21" t="str">
        <x:f>IF(A57="","",IF(AND(ISNUMBER(J57),J57&lt;TODAY()),"교체/확인",IF(AND(ISNUMBER(J57),J57&lt;=TODAY()+30),"30일 내",IF(AND(ISNUMBER(L57),L57&lt;=TODAY()),"점검 필요","정상"))))</x:f>
      </x:c>
      <x:c r="N57" s="21"/>
    </x:row>
    <x:row r="58">
      <x:c r="A58" s="21"/>
      <x:c r="B58" s="21"/>
      <x:c r="C58" s="21"/>
      <x:c r="D58" s="21"/>
      <x:c r="E58" s="21"/>
      <x:c r="F58" s="21"/>
      <x:c r="G58" s="21" t="str">
        <x:f>IF(A58="","",F58+SUMIFS('입출고 기록'!$E$2:$E$501,'입출고 기록'!$B$2:$B$501,A58,'입출고 기록'!$D$2:$D$501,"입고")-SUMIFS('입출고 기록'!$E$2:$E$501,'입출고 기록'!$B$2:$B$501,A58,'입출고 기록'!$D$2:$D$501,"출고")+SUMIFS('입출고 기록'!$E$2:$E$501,'입출고 기록'!$B$2:$B$501,A58,'입출고 기록'!$D$2:$D$501,"조정"))</x:f>
      </x:c>
      <x:c r="H58" s="21"/>
      <x:c r="I58" s="21" t="str">
        <x:f>IF(OR(A58="",H58=""),"",H58-G58)</x:f>
      </x:c>
      <x:c r="J58" s="52"/>
      <x:c r="K58" s="52"/>
      <x:c r="L58" s="52" t="str">
        <x:f>IF(K58="","",EDATE(K58,6))</x:f>
      </x:c>
      <x:c r="M58" s="21" t="str">
        <x:f>IF(A58="","",IF(AND(ISNUMBER(J58),J58&lt;TODAY()),"교체/확인",IF(AND(ISNUMBER(J58),J58&lt;=TODAY()+30),"30일 내",IF(AND(ISNUMBER(L58),L58&lt;=TODAY()),"점검 필요","정상"))))</x:f>
      </x:c>
      <x:c r="N58" s="21"/>
    </x:row>
    <x:row r="59">
      <x:c r="A59" s="21"/>
      <x:c r="B59" s="21"/>
      <x:c r="C59" s="21"/>
      <x:c r="D59" s="21"/>
      <x:c r="E59" s="21"/>
      <x:c r="F59" s="21"/>
      <x:c r="G59" s="21" t="str">
        <x:f>IF(A59="","",F59+SUMIFS('입출고 기록'!$E$2:$E$501,'입출고 기록'!$B$2:$B$501,A59,'입출고 기록'!$D$2:$D$501,"입고")-SUMIFS('입출고 기록'!$E$2:$E$501,'입출고 기록'!$B$2:$B$501,A59,'입출고 기록'!$D$2:$D$501,"출고")+SUMIFS('입출고 기록'!$E$2:$E$501,'입출고 기록'!$B$2:$B$501,A59,'입출고 기록'!$D$2:$D$501,"조정"))</x:f>
      </x:c>
      <x:c r="H59" s="21"/>
      <x:c r="I59" s="21" t="str">
        <x:f>IF(OR(A59="",H59=""),"",H59-G59)</x:f>
      </x:c>
      <x:c r="J59" s="52"/>
      <x:c r="K59" s="52"/>
      <x:c r="L59" s="52" t="str">
        <x:f>IF(K59="","",EDATE(K59,6))</x:f>
      </x:c>
      <x:c r="M59" s="21" t="str">
        <x:f>IF(A59="","",IF(AND(ISNUMBER(J59),J59&lt;TODAY()),"교체/확인",IF(AND(ISNUMBER(J59),J59&lt;=TODAY()+30),"30일 내",IF(AND(ISNUMBER(L59),L59&lt;=TODAY()),"점검 필요","정상"))))</x:f>
      </x:c>
      <x:c r="N59" s="21"/>
    </x:row>
    <x:row r="60">
      <x:c r="A60" s="21"/>
      <x:c r="B60" s="21"/>
      <x:c r="C60" s="21"/>
      <x:c r="D60" s="21"/>
      <x:c r="E60" s="21"/>
      <x:c r="F60" s="21"/>
      <x:c r="G60" s="21" t="str">
        <x:f>IF(A60="","",F60+SUMIFS('입출고 기록'!$E$2:$E$501,'입출고 기록'!$B$2:$B$501,A60,'입출고 기록'!$D$2:$D$501,"입고")-SUMIFS('입출고 기록'!$E$2:$E$501,'입출고 기록'!$B$2:$B$501,A60,'입출고 기록'!$D$2:$D$501,"출고")+SUMIFS('입출고 기록'!$E$2:$E$501,'입출고 기록'!$B$2:$B$501,A60,'입출고 기록'!$D$2:$D$501,"조정"))</x:f>
      </x:c>
      <x:c r="H60" s="21"/>
      <x:c r="I60" s="21" t="str">
        <x:f>IF(OR(A60="",H60=""),"",H60-G60)</x:f>
      </x:c>
      <x:c r="J60" s="52"/>
      <x:c r="K60" s="52"/>
      <x:c r="L60" s="52" t="str">
        <x:f>IF(K60="","",EDATE(K60,6))</x:f>
      </x:c>
      <x:c r="M60" s="21" t="str">
        <x:f>IF(A60="","",IF(AND(ISNUMBER(J60),J60&lt;TODAY()),"교체/확인",IF(AND(ISNUMBER(J60),J60&lt;=TODAY()+30),"30일 내",IF(AND(ISNUMBER(L60),L60&lt;=TODAY()),"점검 필요","정상"))))</x:f>
      </x:c>
      <x:c r="N60" s="21"/>
    </x:row>
    <x:row r="61">
      <x:c r="A61" s="21"/>
      <x:c r="B61" s="21"/>
      <x:c r="C61" s="21"/>
      <x:c r="D61" s="21"/>
      <x:c r="E61" s="21"/>
      <x:c r="F61" s="21"/>
      <x:c r="G61" s="21" t="str">
        <x:f>IF(A61="","",F61+SUMIFS('입출고 기록'!$E$2:$E$501,'입출고 기록'!$B$2:$B$501,A61,'입출고 기록'!$D$2:$D$501,"입고")-SUMIFS('입출고 기록'!$E$2:$E$501,'입출고 기록'!$B$2:$B$501,A61,'입출고 기록'!$D$2:$D$501,"출고")+SUMIFS('입출고 기록'!$E$2:$E$501,'입출고 기록'!$B$2:$B$501,A61,'입출고 기록'!$D$2:$D$501,"조정"))</x:f>
      </x:c>
      <x:c r="H61" s="21"/>
      <x:c r="I61" s="21" t="str">
        <x:f>IF(OR(A61="",H61=""),"",H61-G61)</x:f>
      </x:c>
      <x:c r="J61" s="52"/>
      <x:c r="K61" s="52"/>
      <x:c r="L61" s="52" t="str">
        <x:f>IF(K61="","",EDATE(K61,6))</x:f>
      </x:c>
      <x:c r="M61" s="21" t="str">
        <x:f>IF(A61="","",IF(AND(ISNUMBER(J61),J61&lt;TODAY()),"교체/확인",IF(AND(ISNUMBER(J61),J61&lt;=TODAY()+30),"30일 내",IF(AND(ISNUMBER(L61),L61&lt;=TODAY()),"점검 필요","정상"))))</x:f>
      </x:c>
      <x:c r="N61" s="21"/>
    </x:row>
    <x:row r="62">
      <x:c r="A62" s="21"/>
      <x:c r="B62" s="21"/>
      <x:c r="C62" s="21"/>
      <x:c r="D62" s="21"/>
      <x:c r="E62" s="21"/>
      <x:c r="F62" s="21"/>
      <x:c r="G62" s="21" t="str">
        <x:f>IF(A62="","",F62+SUMIFS('입출고 기록'!$E$2:$E$501,'입출고 기록'!$B$2:$B$501,A62,'입출고 기록'!$D$2:$D$501,"입고")-SUMIFS('입출고 기록'!$E$2:$E$501,'입출고 기록'!$B$2:$B$501,A62,'입출고 기록'!$D$2:$D$501,"출고")+SUMIFS('입출고 기록'!$E$2:$E$501,'입출고 기록'!$B$2:$B$501,A62,'입출고 기록'!$D$2:$D$501,"조정"))</x:f>
      </x:c>
      <x:c r="H62" s="21"/>
      <x:c r="I62" s="21" t="str">
        <x:f>IF(OR(A62="",H62=""),"",H62-G62)</x:f>
      </x:c>
      <x:c r="J62" s="52"/>
      <x:c r="K62" s="52"/>
      <x:c r="L62" s="52" t="str">
        <x:f>IF(K62="","",EDATE(K62,6))</x:f>
      </x:c>
      <x:c r="M62" s="21" t="str">
        <x:f>IF(A62="","",IF(AND(ISNUMBER(J62),J62&lt;TODAY()),"교체/확인",IF(AND(ISNUMBER(J62),J62&lt;=TODAY()+30),"30일 내",IF(AND(ISNUMBER(L62),L62&lt;=TODAY()),"점검 필요","정상"))))</x:f>
      </x:c>
      <x:c r="N62" s="21"/>
    </x:row>
    <x:row r="63">
      <x:c r="A63" s="21"/>
      <x:c r="B63" s="21"/>
      <x:c r="C63" s="21"/>
      <x:c r="D63" s="21"/>
      <x:c r="E63" s="21"/>
      <x:c r="F63" s="21"/>
      <x:c r="G63" s="21" t="str">
        <x:f>IF(A63="","",F63+SUMIFS('입출고 기록'!$E$2:$E$501,'입출고 기록'!$B$2:$B$501,A63,'입출고 기록'!$D$2:$D$501,"입고")-SUMIFS('입출고 기록'!$E$2:$E$501,'입출고 기록'!$B$2:$B$501,A63,'입출고 기록'!$D$2:$D$501,"출고")+SUMIFS('입출고 기록'!$E$2:$E$501,'입출고 기록'!$B$2:$B$501,A63,'입출고 기록'!$D$2:$D$501,"조정"))</x:f>
      </x:c>
      <x:c r="H63" s="21"/>
      <x:c r="I63" s="21" t="str">
        <x:f>IF(OR(A63="",H63=""),"",H63-G63)</x:f>
      </x:c>
      <x:c r="J63" s="52"/>
      <x:c r="K63" s="52"/>
      <x:c r="L63" s="52" t="str">
        <x:f>IF(K63="","",EDATE(K63,6))</x:f>
      </x:c>
      <x:c r="M63" s="21" t="str">
        <x:f>IF(A63="","",IF(AND(ISNUMBER(J63),J63&lt;TODAY()),"교체/확인",IF(AND(ISNUMBER(J63),J63&lt;=TODAY()+30),"30일 내",IF(AND(ISNUMBER(L63),L63&lt;=TODAY()),"점검 필요","정상"))))</x:f>
      </x:c>
      <x:c r="N63" s="21"/>
    </x:row>
    <x:row r="64">
      <x:c r="A64" s="21"/>
      <x:c r="B64" s="21"/>
      <x:c r="C64" s="21"/>
      <x:c r="D64" s="21"/>
      <x:c r="E64" s="21"/>
      <x:c r="F64" s="21"/>
      <x:c r="G64" s="21" t="str">
        <x:f>IF(A64="","",F64+SUMIFS('입출고 기록'!$E$2:$E$501,'입출고 기록'!$B$2:$B$501,A64,'입출고 기록'!$D$2:$D$501,"입고")-SUMIFS('입출고 기록'!$E$2:$E$501,'입출고 기록'!$B$2:$B$501,A64,'입출고 기록'!$D$2:$D$501,"출고")+SUMIFS('입출고 기록'!$E$2:$E$501,'입출고 기록'!$B$2:$B$501,A64,'입출고 기록'!$D$2:$D$501,"조정"))</x:f>
      </x:c>
      <x:c r="H64" s="21"/>
      <x:c r="I64" s="21" t="str">
        <x:f>IF(OR(A64="",H64=""),"",H64-G64)</x:f>
      </x:c>
      <x:c r="J64" s="52"/>
      <x:c r="K64" s="52"/>
      <x:c r="L64" s="52" t="str">
        <x:f>IF(K64="","",EDATE(K64,6))</x:f>
      </x:c>
      <x:c r="M64" s="21" t="str">
        <x:f>IF(A64="","",IF(AND(ISNUMBER(J64),J64&lt;TODAY()),"교체/확인",IF(AND(ISNUMBER(J64),J64&lt;=TODAY()+30),"30일 내",IF(AND(ISNUMBER(L64),L64&lt;=TODAY()),"점검 필요","정상"))))</x:f>
      </x:c>
      <x:c r="N64" s="21"/>
    </x:row>
    <x:row r="65">
      <x:c r="A65" s="21"/>
      <x:c r="B65" s="21"/>
      <x:c r="C65" s="21"/>
      <x:c r="D65" s="21"/>
      <x:c r="E65" s="21"/>
      <x:c r="F65" s="21"/>
      <x:c r="G65" s="21" t="str">
        <x:f>IF(A65="","",F65+SUMIFS('입출고 기록'!$E$2:$E$501,'입출고 기록'!$B$2:$B$501,A65,'입출고 기록'!$D$2:$D$501,"입고")-SUMIFS('입출고 기록'!$E$2:$E$501,'입출고 기록'!$B$2:$B$501,A65,'입출고 기록'!$D$2:$D$501,"출고")+SUMIFS('입출고 기록'!$E$2:$E$501,'입출고 기록'!$B$2:$B$501,A65,'입출고 기록'!$D$2:$D$501,"조정"))</x:f>
      </x:c>
      <x:c r="H65" s="21"/>
      <x:c r="I65" s="21" t="str">
        <x:f>IF(OR(A65="",H65=""),"",H65-G65)</x:f>
      </x:c>
      <x:c r="J65" s="52"/>
      <x:c r="K65" s="52"/>
      <x:c r="L65" s="52" t="str">
        <x:f>IF(K65="","",EDATE(K65,6))</x:f>
      </x:c>
      <x:c r="M65" s="21" t="str">
        <x:f>IF(A65="","",IF(AND(ISNUMBER(J65),J65&lt;TODAY()),"교체/확인",IF(AND(ISNUMBER(J65),J65&lt;=TODAY()+30),"30일 내",IF(AND(ISNUMBER(L65),L65&lt;=TODAY()),"점검 필요","정상"))))</x:f>
      </x:c>
      <x:c r="N65" s="21"/>
    </x:row>
    <x:row r="66">
      <x:c r="A66" s="21"/>
      <x:c r="B66" s="21"/>
      <x:c r="C66" s="21"/>
      <x:c r="D66" s="21"/>
      <x:c r="E66" s="21"/>
      <x:c r="F66" s="21"/>
      <x:c r="G66" s="21" t="str">
        <x:f>IF(A66="","",F66+SUMIFS('입출고 기록'!$E$2:$E$501,'입출고 기록'!$B$2:$B$501,A66,'입출고 기록'!$D$2:$D$501,"입고")-SUMIFS('입출고 기록'!$E$2:$E$501,'입출고 기록'!$B$2:$B$501,A66,'입출고 기록'!$D$2:$D$501,"출고")+SUMIFS('입출고 기록'!$E$2:$E$501,'입출고 기록'!$B$2:$B$501,A66,'입출고 기록'!$D$2:$D$501,"조정"))</x:f>
      </x:c>
      <x:c r="H66" s="21"/>
      <x:c r="I66" s="21" t="str">
        <x:f>IF(OR(A66="",H66=""),"",H66-G66)</x:f>
      </x:c>
      <x:c r="J66" s="52"/>
      <x:c r="K66" s="52"/>
      <x:c r="L66" s="52" t="str">
        <x:f>IF(K66="","",EDATE(K66,6))</x:f>
      </x:c>
      <x:c r="M66" s="21" t="str">
        <x:f>IF(A66="","",IF(AND(ISNUMBER(J66),J66&lt;TODAY()),"교체/확인",IF(AND(ISNUMBER(J66),J66&lt;=TODAY()+30),"30일 내",IF(AND(ISNUMBER(L66),L66&lt;=TODAY()),"점검 필요","정상"))))</x:f>
      </x:c>
      <x:c r="N66" s="21"/>
    </x:row>
    <x:row r="67">
      <x:c r="A67" s="21"/>
      <x:c r="B67" s="21"/>
      <x:c r="C67" s="21"/>
      <x:c r="D67" s="21"/>
      <x:c r="E67" s="21"/>
      <x:c r="F67" s="21"/>
      <x:c r="G67" s="21" t="str">
        <x:f>IF(A67="","",F67+SUMIFS('입출고 기록'!$E$2:$E$501,'입출고 기록'!$B$2:$B$501,A67,'입출고 기록'!$D$2:$D$501,"입고")-SUMIFS('입출고 기록'!$E$2:$E$501,'입출고 기록'!$B$2:$B$501,A67,'입출고 기록'!$D$2:$D$501,"출고")+SUMIFS('입출고 기록'!$E$2:$E$501,'입출고 기록'!$B$2:$B$501,A67,'입출고 기록'!$D$2:$D$501,"조정"))</x:f>
      </x:c>
      <x:c r="H67" s="21"/>
      <x:c r="I67" s="21" t="str">
        <x:f>IF(OR(A67="",H67=""),"",H67-G67)</x:f>
      </x:c>
      <x:c r="J67" s="52"/>
      <x:c r="K67" s="52"/>
      <x:c r="L67" s="52" t="str">
        <x:f>IF(K67="","",EDATE(K67,6))</x:f>
      </x:c>
      <x:c r="M67" s="21" t="str">
        <x:f>IF(A67="","",IF(AND(ISNUMBER(J67),J67&lt;TODAY()),"교체/확인",IF(AND(ISNUMBER(J67),J67&lt;=TODAY()+30),"30일 내",IF(AND(ISNUMBER(L67),L67&lt;=TODAY()),"점검 필요","정상"))))</x:f>
      </x:c>
      <x:c r="N67" s="21"/>
    </x:row>
    <x:row r="68">
      <x:c r="A68" s="21"/>
      <x:c r="B68" s="21"/>
      <x:c r="C68" s="21"/>
      <x:c r="D68" s="21"/>
      <x:c r="E68" s="21"/>
      <x:c r="F68" s="21"/>
      <x:c r="G68" s="21" t="str">
        <x:f>IF(A68="","",F68+SUMIFS('입출고 기록'!$E$2:$E$501,'입출고 기록'!$B$2:$B$501,A68,'입출고 기록'!$D$2:$D$501,"입고")-SUMIFS('입출고 기록'!$E$2:$E$501,'입출고 기록'!$B$2:$B$501,A68,'입출고 기록'!$D$2:$D$501,"출고")+SUMIFS('입출고 기록'!$E$2:$E$501,'입출고 기록'!$B$2:$B$501,A68,'입출고 기록'!$D$2:$D$501,"조정"))</x:f>
      </x:c>
      <x:c r="H68" s="21"/>
      <x:c r="I68" s="21" t="str">
        <x:f>IF(OR(A68="",H68=""),"",H68-G68)</x:f>
      </x:c>
      <x:c r="J68" s="52"/>
      <x:c r="K68" s="52"/>
      <x:c r="L68" s="52" t="str">
        <x:f>IF(K68="","",EDATE(K68,6))</x:f>
      </x:c>
      <x:c r="M68" s="21" t="str">
        <x:f>IF(A68="","",IF(AND(ISNUMBER(J68),J68&lt;TODAY()),"교체/확인",IF(AND(ISNUMBER(J68),J68&lt;=TODAY()+30),"30일 내",IF(AND(ISNUMBER(L68),L68&lt;=TODAY()),"점검 필요","정상"))))</x:f>
      </x:c>
      <x:c r="N68" s="21"/>
    </x:row>
    <x:row r="69">
      <x:c r="A69" s="21"/>
      <x:c r="B69" s="21"/>
      <x:c r="C69" s="21"/>
      <x:c r="D69" s="21"/>
      <x:c r="E69" s="21"/>
      <x:c r="F69" s="21"/>
      <x:c r="G69" s="21" t="str">
        <x:f>IF(A69="","",F69+SUMIFS('입출고 기록'!$E$2:$E$501,'입출고 기록'!$B$2:$B$501,A69,'입출고 기록'!$D$2:$D$501,"입고")-SUMIFS('입출고 기록'!$E$2:$E$501,'입출고 기록'!$B$2:$B$501,A69,'입출고 기록'!$D$2:$D$501,"출고")+SUMIFS('입출고 기록'!$E$2:$E$501,'입출고 기록'!$B$2:$B$501,A69,'입출고 기록'!$D$2:$D$501,"조정"))</x:f>
      </x:c>
      <x:c r="H69" s="21"/>
      <x:c r="I69" s="21" t="str">
        <x:f>IF(OR(A69="",H69=""),"",H69-G69)</x:f>
      </x:c>
      <x:c r="J69" s="52"/>
      <x:c r="K69" s="52"/>
      <x:c r="L69" s="52" t="str">
        <x:f>IF(K69="","",EDATE(K69,6))</x:f>
      </x:c>
      <x:c r="M69" s="21" t="str">
        <x:f>IF(A69="","",IF(AND(ISNUMBER(J69),J69&lt;TODAY()),"교체/확인",IF(AND(ISNUMBER(J69),J69&lt;=TODAY()+30),"30일 내",IF(AND(ISNUMBER(L69),L69&lt;=TODAY()),"점검 필요","정상"))))</x:f>
      </x:c>
      <x:c r="N69" s="21"/>
    </x:row>
    <x:row r="70">
      <x:c r="A70" s="21"/>
      <x:c r="B70" s="21"/>
      <x:c r="C70" s="21"/>
      <x:c r="D70" s="21"/>
      <x:c r="E70" s="21"/>
      <x:c r="F70" s="21"/>
      <x:c r="G70" s="21" t="str">
        <x:f>IF(A70="","",F70+SUMIFS('입출고 기록'!$E$2:$E$501,'입출고 기록'!$B$2:$B$501,A70,'입출고 기록'!$D$2:$D$501,"입고")-SUMIFS('입출고 기록'!$E$2:$E$501,'입출고 기록'!$B$2:$B$501,A70,'입출고 기록'!$D$2:$D$501,"출고")+SUMIFS('입출고 기록'!$E$2:$E$501,'입출고 기록'!$B$2:$B$501,A70,'입출고 기록'!$D$2:$D$501,"조정"))</x:f>
      </x:c>
      <x:c r="H70" s="21"/>
      <x:c r="I70" s="21" t="str">
        <x:f>IF(OR(A70="",H70=""),"",H70-G70)</x:f>
      </x:c>
      <x:c r="J70" s="52"/>
      <x:c r="K70" s="52"/>
      <x:c r="L70" s="52" t="str">
        <x:f>IF(K70="","",EDATE(K70,6))</x:f>
      </x:c>
      <x:c r="M70" s="21" t="str">
        <x:f>IF(A70="","",IF(AND(ISNUMBER(J70),J70&lt;TODAY()),"교체/확인",IF(AND(ISNUMBER(J70),J70&lt;=TODAY()+30),"30일 내",IF(AND(ISNUMBER(L70),L70&lt;=TODAY()),"점검 필요","정상"))))</x:f>
      </x:c>
      <x:c r="N70" s="21"/>
    </x:row>
    <x:row r="71">
      <x:c r="A71" s="21"/>
      <x:c r="B71" s="21"/>
      <x:c r="C71" s="21"/>
      <x:c r="D71" s="21"/>
      <x:c r="E71" s="21"/>
      <x:c r="F71" s="21"/>
      <x:c r="G71" s="21" t="str">
        <x:f>IF(A71="","",F71+SUMIFS('입출고 기록'!$E$2:$E$501,'입출고 기록'!$B$2:$B$501,A71,'입출고 기록'!$D$2:$D$501,"입고")-SUMIFS('입출고 기록'!$E$2:$E$501,'입출고 기록'!$B$2:$B$501,A71,'입출고 기록'!$D$2:$D$501,"출고")+SUMIFS('입출고 기록'!$E$2:$E$501,'입출고 기록'!$B$2:$B$501,A71,'입출고 기록'!$D$2:$D$501,"조정"))</x:f>
      </x:c>
      <x:c r="H71" s="21"/>
      <x:c r="I71" s="21" t="str">
        <x:f>IF(OR(A71="",H71=""),"",H71-G71)</x:f>
      </x:c>
      <x:c r="J71" s="52"/>
      <x:c r="K71" s="52"/>
      <x:c r="L71" s="52" t="str">
        <x:f>IF(K71="","",EDATE(K71,6))</x:f>
      </x:c>
      <x:c r="M71" s="21" t="str">
        <x:f>IF(A71="","",IF(AND(ISNUMBER(J71),J71&lt;TODAY()),"교체/확인",IF(AND(ISNUMBER(J71),J71&lt;=TODAY()+30),"30일 내",IF(AND(ISNUMBER(L71),L71&lt;=TODAY()),"점검 필요","정상"))))</x:f>
      </x:c>
      <x:c r="N71" s="21"/>
    </x:row>
    <x:row r="72">
      <x:c r="A72" s="21"/>
      <x:c r="B72" s="21"/>
      <x:c r="C72" s="21"/>
      <x:c r="D72" s="21"/>
      <x:c r="E72" s="21"/>
      <x:c r="F72" s="21"/>
      <x:c r="G72" s="21" t="str">
        <x:f>IF(A72="","",F72+SUMIFS('입출고 기록'!$E$2:$E$501,'입출고 기록'!$B$2:$B$501,A72,'입출고 기록'!$D$2:$D$501,"입고")-SUMIFS('입출고 기록'!$E$2:$E$501,'입출고 기록'!$B$2:$B$501,A72,'입출고 기록'!$D$2:$D$501,"출고")+SUMIFS('입출고 기록'!$E$2:$E$501,'입출고 기록'!$B$2:$B$501,A72,'입출고 기록'!$D$2:$D$501,"조정"))</x:f>
      </x:c>
      <x:c r="H72" s="21"/>
      <x:c r="I72" s="21" t="str">
        <x:f>IF(OR(A72="",H72=""),"",H72-G72)</x:f>
      </x:c>
      <x:c r="J72" s="52"/>
      <x:c r="K72" s="52"/>
      <x:c r="L72" s="52" t="str">
        <x:f>IF(K72="","",EDATE(K72,6))</x:f>
      </x:c>
      <x:c r="M72" s="21" t="str">
        <x:f>IF(A72="","",IF(AND(ISNUMBER(J72),J72&lt;TODAY()),"교체/확인",IF(AND(ISNUMBER(J72),J72&lt;=TODAY()+30),"30일 내",IF(AND(ISNUMBER(L72),L72&lt;=TODAY()),"점검 필요","정상"))))</x:f>
      </x:c>
      <x:c r="N72" s="21"/>
    </x:row>
    <x:row r="73">
      <x:c r="A73" s="21"/>
      <x:c r="B73" s="21"/>
      <x:c r="C73" s="21"/>
      <x:c r="D73" s="21"/>
      <x:c r="E73" s="21"/>
      <x:c r="F73" s="21"/>
      <x:c r="G73" s="21" t="str">
        <x:f>IF(A73="","",F73+SUMIFS('입출고 기록'!$E$2:$E$501,'입출고 기록'!$B$2:$B$501,A73,'입출고 기록'!$D$2:$D$501,"입고")-SUMIFS('입출고 기록'!$E$2:$E$501,'입출고 기록'!$B$2:$B$501,A73,'입출고 기록'!$D$2:$D$501,"출고")+SUMIFS('입출고 기록'!$E$2:$E$501,'입출고 기록'!$B$2:$B$501,A73,'입출고 기록'!$D$2:$D$501,"조정"))</x:f>
      </x:c>
      <x:c r="H73" s="21"/>
      <x:c r="I73" s="21" t="str">
        <x:f>IF(OR(A73="",H73=""),"",H73-G73)</x:f>
      </x:c>
      <x:c r="J73" s="52"/>
      <x:c r="K73" s="52"/>
      <x:c r="L73" s="52" t="str">
        <x:f>IF(K73="","",EDATE(K73,6))</x:f>
      </x:c>
      <x:c r="M73" s="21" t="str">
        <x:f>IF(A73="","",IF(AND(ISNUMBER(J73),J73&lt;TODAY()),"교체/확인",IF(AND(ISNUMBER(J73),J73&lt;=TODAY()+30),"30일 내",IF(AND(ISNUMBER(L73),L73&lt;=TODAY()),"점검 필요","정상"))))</x:f>
      </x:c>
      <x:c r="N73" s="21"/>
    </x:row>
    <x:row r="74">
      <x:c r="A74" s="21"/>
      <x:c r="B74" s="21"/>
      <x:c r="C74" s="21"/>
      <x:c r="D74" s="21"/>
      <x:c r="E74" s="21"/>
      <x:c r="F74" s="21"/>
      <x:c r="G74" s="21" t="str">
        <x:f>IF(A74="","",F74+SUMIFS('입출고 기록'!$E$2:$E$501,'입출고 기록'!$B$2:$B$501,A74,'입출고 기록'!$D$2:$D$501,"입고")-SUMIFS('입출고 기록'!$E$2:$E$501,'입출고 기록'!$B$2:$B$501,A74,'입출고 기록'!$D$2:$D$501,"출고")+SUMIFS('입출고 기록'!$E$2:$E$501,'입출고 기록'!$B$2:$B$501,A74,'입출고 기록'!$D$2:$D$501,"조정"))</x:f>
      </x:c>
      <x:c r="H74" s="21"/>
      <x:c r="I74" s="21" t="str">
        <x:f>IF(OR(A74="",H74=""),"",H74-G74)</x:f>
      </x:c>
      <x:c r="J74" s="52"/>
      <x:c r="K74" s="52"/>
      <x:c r="L74" s="52" t="str">
        <x:f>IF(K74="","",EDATE(K74,6))</x:f>
      </x:c>
      <x:c r="M74" s="21" t="str">
        <x:f>IF(A74="","",IF(AND(ISNUMBER(J74),J74&lt;TODAY()),"교체/확인",IF(AND(ISNUMBER(J74),J74&lt;=TODAY()+30),"30일 내",IF(AND(ISNUMBER(L74),L74&lt;=TODAY()),"점검 필요","정상"))))</x:f>
      </x:c>
      <x:c r="N74" s="21"/>
    </x:row>
    <x:row r="75">
      <x:c r="A75" s="21"/>
      <x:c r="B75" s="21"/>
      <x:c r="C75" s="21"/>
      <x:c r="D75" s="21"/>
      <x:c r="E75" s="21"/>
      <x:c r="F75" s="21"/>
      <x:c r="G75" s="21" t="str">
        <x:f>IF(A75="","",F75+SUMIFS('입출고 기록'!$E$2:$E$501,'입출고 기록'!$B$2:$B$501,A75,'입출고 기록'!$D$2:$D$501,"입고")-SUMIFS('입출고 기록'!$E$2:$E$501,'입출고 기록'!$B$2:$B$501,A75,'입출고 기록'!$D$2:$D$501,"출고")+SUMIFS('입출고 기록'!$E$2:$E$501,'입출고 기록'!$B$2:$B$501,A75,'입출고 기록'!$D$2:$D$501,"조정"))</x:f>
      </x:c>
      <x:c r="H75" s="21"/>
      <x:c r="I75" s="21" t="str">
        <x:f>IF(OR(A75="",H75=""),"",H75-G75)</x:f>
      </x:c>
      <x:c r="J75" s="52"/>
      <x:c r="K75" s="52"/>
      <x:c r="L75" s="52" t="str">
        <x:f>IF(K75="","",EDATE(K75,6))</x:f>
      </x:c>
      <x:c r="M75" s="21" t="str">
        <x:f>IF(A75="","",IF(AND(ISNUMBER(J75),J75&lt;TODAY()),"교체/확인",IF(AND(ISNUMBER(J75),J75&lt;=TODAY()+30),"30일 내",IF(AND(ISNUMBER(L75),L75&lt;=TODAY()),"점검 필요","정상"))))</x:f>
      </x:c>
      <x:c r="N75" s="21"/>
    </x:row>
    <x:row r="76">
      <x:c r="A76" s="21"/>
      <x:c r="B76" s="21"/>
      <x:c r="C76" s="21"/>
      <x:c r="D76" s="21"/>
      <x:c r="E76" s="21"/>
      <x:c r="F76" s="21"/>
      <x:c r="G76" s="21" t="str">
        <x:f>IF(A76="","",F76+SUMIFS('입출고 기록'!$E$2:$E$501,'입출고 기록'!$B$2:$B$501,A76,'입출고 기록'!$D$2:$D$501,"입고")-SUMIFS('입출고 기록'!$E$2:$E$501,'입출고 기록'!$B$2:$B$501,A76,'입출고 기록'!$D$2:$D$501,"출고")+SUMIFS('입출고 기록'!$E$2:$E$501,'입출고 기록'!$B$2:$B$501,A76,'입출고 기록'!$D$2:$D$501,"조정"))</x:f>
      </x:c>
      <x:c r="H76" s="21"/>
      <x:c r="I76" s="21" t="str">
        <x:f>IF(OR(A76="",H76=""),"",H76-G76)</x:f>
      </x:c>
      <x:c r="J76" s="52"/>
      <x:c r="K76" s="52"/>
      <x:c r="L76" s="52" t="str">
        <x:f>IF(K76="","",EDATE(K76,6))</x:f>
      </x:c>
      <x:c r="M76" s="21" t="str">
        <x:f>IF(A76="","",IF(AND(ISNUMBER(J76),J76&lt;TODAY()),"교체/확인",IF(AND(ISNUMBER(J76),J76&lt;=TODAY()+30),"30일 내",IF(AND(ISNUMBER(L76),L76&lt;=TODAY()),"점검 필요","정상"))))</x:f>
      </x:c>
      <x:c r="N76" s="21"/>
    </x:row>
    <x:row r="77">
      <x:c r="A77" s="21"/>
      <x:c r="B77" s="21"/>
      <x:c r="C77" s="21"/>
      <x:c r="D77" s="21"/>
      <x:c r="E77" s="21"/>
      <x:c r="F77" s="21"/>
      <x:c r="G77" s="21" t="str">
        <x:f>IF(A77="","",F77+SUMIFS('입출고 기록'!$E$2:$E$501,'입출고 기록'!$B$2:$B$501,A77,'입출고 기록'!$D$2:$D$501,"입고")-SUMIFS('입출고 기록'!$E$2:$E$501,'입출고 기록'!$B$2:$B$501,A77,'입출고 기록'!$D$2:$D$501,"출고")+SUMIFS('입출고 기록'!$E$2:$E$501,'입출고 기록'!$B$2:$B$501,A77,'입출고 기록'!$D$2:$D$501,"조정"))</x:f>
      </x:c>
      <x:c r="H77" s="21"/>
      <x:c r="I77" s="21" t="str">
        <x:f>IF(OR(A77="",H77=""),"",H77-G77)</x:f>
      </x:c>
      <x:c r="J77" s="52"/>
      <x:c r="K77" s="52"/>
      <x:c r="L77" s="52" t="str">
        <x:f>IF(K77="","",EDATE(K77,6))</x:f>
      </x:c>
      <x:c r="M77" s="21" t="str">
        <x:f>IF(A77="","",IF(AND(ISNUMBER(J77),J77&lt;TODAY()),"교체/확인",IF(AND(ISNUMBER(J77),J77&lt;=TODAY()+30),"30일 내",IF(AND(ISNUMBER(L77),L77&lt;=TODAY()),"점검 필요","정상"))))</x:f>
      </x:c>
      <x:c r="N77" s="21"/>
    </x:row>
    <x:row r="78">
      <x:c r="A78" s="21"/>
      <x:c r="B78" s="21"/>
      <x:c r="C78" s="21"/>
      <x:c r="D78" s="21"/>
      <x:c r="E78" s="21"/>
      <x:c r="F78" s="21"/>
      <x:c r="G78" s="21" t="str">
        <x:f>IF(A78="","",F78+SUMIFS('입출고 기록'!$E$2:$E$501,'입출고 기록'!$B$2:$B$501,A78,'입출고 기록'!$D$2:$D$501,"입고")-SUMIFS('입출고 기록'!$E$2:$E$501,'입출고 기록'!$B$2:$B$501,A78,'입출고 기록'!$D$2:$D$501,"출고")+SUMIFS('입출고 기록'!$E$2:$E$501,'입출고 기록'!$B$2:$B$501,A78,'입출고 기록'!$D$2:$D$501,"조정"))</x:f>
      </x:c>
      <x:c r="H78" s="21"/>
      <x:c r="I78" s="21" t="str">
        <x:f>IF(OR(A78="",H78=""),"",H78-G78)</x:f>
      </x:c>
      <x:c r="J78" s="52"/>
      <x:c r="K78" s="52"/>
      <x:c r="L78" s="52" t="str">
        <x:f>IF(K78="","",EDATE(K78,6))</x:f>
      </x:c>
      <x:c r="M78" s="21" t="str">
        <x:f>IF(A78="","",IF(AND(ISNUMBER(J78),J78&lt;TODAY()),"교체/확인",IF(AND(ISNUMBER(J78),J78&lt;=TODAY()+30),"30일 내",IF(AND(ISNUMBER(L78),L78&lt;=TODAY()),"점검 필요","정상"))))</x:f>
      </x:c>
      <x:c r="N78" s="21"/>
    </x:row>
    <x:row r="79">
      <x:c r="A79" s="21"/>
      <x:c r="B79" s="21"/>
      <x:c r="C79" s="21"/>
      <x:c r="D79" s="21"/>
      <x:c r="E79" s="21"/>
      <x:c r="F79" s="21"/>
      <x:c r="G79" s="21" t="str">
        <x:f>IF(A79="","",F79+SUMIFS('입출고 기록'!$E$2:$E$501,'입출고 기록'!$B$2:$B$501,A79,'입출고 기록'!$D$2:$D$501,"입고")-SUMIFS('입출고 기록'!$E$2:$E$501,'입출고 기록'!$B$2:$B$501,A79,'입출고 기록'!$D$2:$D$501,"출고")+SUMIFS('입출고 기록'!$E$2:$E$501,'입출고 기록'!$B$2:$B$501,A79,'입출고 기록'!$D$2:$D$501,"조정"))</x:f>
      </x:c>
      <x:c r="H79" s="21"/>
      <x:c r="I79" s="21" t="str">
        <x:f>IF(OR(A79="",H79=""),"",H79-G79)</x:f>
      </x:c>
      <x:c r="J79" s="52"/>
      <x:c r="K79" s="52"/>
      <x:c r="L79" s="52" t="str">
        <x:f>IF(K79="","",EDATE(K79,6))</x:f>
      </x:c>
      <x:c r="M79" s="21" t="str">
        <x:f>IF(A79="","",IF(AND(ISNUMBER(J79),J79&lt;TODAY()),"교체/확인",IF(AND(ISNUMBER(J79),J79&lt;=TODAY()+30),"30일 내",IF(AND(ISNUMBER(L79),L79&lt;=TODAY()),"점검 필요","정상"))))</x:f>
      </x:c>
      <x:c r="N79" s="21"/>
    </x:row>
    <x:row r="80">
      <x:c r="A80" s="21"/>
      <x:c r="B80" s="21"/>
      <x:c r="C80" s="21"/>
      <x:c r="D80" s="21"/>
      <x:c r="E80" s="21"/>
      <x:c r="F80" s="21"/>
      <x:c r="G80" s="21" t="str">
        <x:f>IF(A80="","",F80+SUMIFS('입출고 기록'!$E$2:$E$501,'입출고 기록'!$B$2:$B$501,A80,'입출고 기록'!$D$2:$D$501,"입고")-SUMIFS('입출고 기록'!$E$2:$E$501,'입출고 기록'!$B$2:$B$501,A80,'입출고 기록'!$D$2:$D$501,"출고")+SUMIFS('입출고 기록'!$E$2:$E$501,'입출고 기록'!$B$2:$B$501,A80,'입출고 기록'!$D$2:$D$501,"조정"))</x:f>
      </x:c>
      <x:c r="H80" s="21"/>
      <x:c r="I80" s="21" t="str">
        <x:f>IF(OR(A80="",H80=""),"",H80-G80)</x:f>
      </x:c>
      <x:c r="J80" s="52"/>
      <x:c r="K80" s="52"/>
      <x:c r="L80" s="52" t="str">
        <x:f>IF(K80="","",EDATE(K80,6))</x:f>
      </x:c>
      <x:c r="M80" s="21" t="str">
        <x:f>IF(A80="","",IF(AND(ISNUMBER(J80),J80&lt;TODAY()),"교체/확인",IF(AND(ISNUMBER(J80),J80&lt;=TODAY()+30),"30일 내",IF(AND(ISNUMBER(L80),L80&lt;=TODAY()),"점검 필요","정상"))))</x:f>
      </x:c>
      <x:c r="N80" s="21"/>
    </x:row>
    <x:row r="81">
      <x:c r="A81" s="21"/>
      <x:c r="B81" s="21"/>
      <x:c r="C81" s="21"/>
      <x:c r="D81" s="21"/>
      <x:c r="E81" s="21"/>
      <x:c r="F81" s="21"/>
      <x:c r="G81" s="21" t="str">
        <x:f>IF(A81="","",F81+SUMIFS('입출고 기록'!$E$2:$E$501,'입출고 기록'!$B$2:$B$501,A81,'입출고 기록'!$D$2:$D$501,"입고")-SUMIFS('입출고 기록'!$E$2:$E$501,'입출고 기록'!$B$2:$B$501,A81,'입출고 기록'!$D$2:$D$501,"출고")+SUMIFS('입출고 기록'!$E$2:$E$501,'입출고 기록'!$B$2:$B$501,A81,'입출고 기록'!$D$2:$D$501,"조정"))</x:f>
      </x:c>
      <x:c r="H81" s="21"/>
      <x:c r="I81" s="21" t="str">
        <x:f>IF(OR(A81="",H81=""),"",H81-G81)</x:f>
      </x:c>
      <x:c r="J81" s="52"/>
      <x:c r="K81" s="52"/>
      <x:c r="L81" s="52" t="str">
        <x:f>IF(K81="","",EDATE(K81,6))</x:f>
      </x:c>
      <x:c r="M81" s="21" t="str">
        <x:f>IF(A81="","",IF(AND(ISNUMBER(J81),J81&lt;TODAY()),"교체/확인",IF(AND(ISNUMBER(J81),J81&lt;=TODAY()+30),"30일 내",IF(AND(ISNUMBER(L81),L81&lt;=TODAY()),"점검 필요","정상"))))</x:f>
      </x:c>
      <x:c r="N81" s="21"/>
    </x:row>
    <x:row r="82">
      <x:c r="A82" s="21"/>
      <x:c r="B82" s="21"/>
      <x:c r="C82" s="21"/>
      <x:c r="D82" s="21"/>
      <x:c r="E82" s="21"/>
      <x:c r="F82" s="21"/>
      <x:c r="G82" s="21" t="str">
        <x:f>IF(A82="","",F82+SUMIFS('입출고 기록'!$E$2:$E$501,'입출고 기록'!$B$2:$B$501,A82,'입출고 기록'!$D$2:$D$501,"입고")-SUMIFS('입출고 기록'!$E$2:$E$501,'입출고 기록'!$B$2:$B$501,A82,'입출고 기록'!$D$2:$D$501,"출고")+SUMIFS('입출고 기록'!$E$2:$E$501,'입출고 기록'!$B$2:$B$501,A82,'입출고 기록'!$D$2:$D$501,"조정"))</x:f>
      </x:c>
      <x:c r="H82" s="21"/>
      <x:c r="I82" s="21" t="str">
        <x:f>IF(OR(A82="",H82=""),"",H82-G82)</x:f>
      </x:c>
      <x:c r="J82" s="52"/>
      <x:c r="K82" s="52"/>
      <x:c r="L82" s="52" t="str">
        <x:f>IF(K82="","",EDATE(K82,6))</x:f>
      </x:c>
      <x:c r="M82" s="21" t="str">
        <x:f>IF(A82="","",IF(AND(ISNUMBER(J82),J82&lt;TODAY()),"교체/확인",IF(AND(ISNUMBER(J82),J82&lt;=TODAY()+30),"30일 내",IF(AND(ISNUMBER(L82),L82&lt;=TODAY()),"점검 필요","정상"))))</x:f>
      </x:c>
      <x:c r="N82" s="21"/>
    </x:row>
    <x:row r="83">
      <x:c r="A83" s="21"/>
      <x:c r="B83" s="21"/>
      <x:c r="C83" s="21"/>
      <x:c r="D83" s="21"/>
      <x:c r="E83" s="21"/>
      <x:c r="F83" s="21"/>
      <x:c r="G83" s="21" t="str">
        <x:f>IF(A83="","",F83+SUMIFS('입출고 기록'!$E$2:$E$501,'입출고 기록'!$B$2:$B$501,A83,'입출고 기록'!$D$2:$D$501,"입고")-SUMIFS('입출고 기록'!$E$2:$E$501,'입출고 기록'!$B$2:$B$501,A83,'입출고 기록'!$D$2:$D$501,"출고")+SUMIFS('입출고 기록'!$E$2:$E$501,'입출고 기록'!$B$2:$B$501,A83,'입출고 기록'!$D$2:$D$501,"조정"))</x:f>
      </x:c>
      <x:c r="H83" s="21"/>
      <x:c r="I83" s="21" t="str">
        <x:f>IF(OR(A83="",H83=""),"",H83-G83)</x:f>
      </x:c>
      <x:c r="J83" s="52"/>
      <x:c r="K83" s="52"/>
      <x:c r="L83" s="52" t="str">
        <x:f>IF(K83="","",EDATE(K83,6))</x:f>
      </x:c>
      <x:c r="M83" s="21" t="str">
        <x:f>IF(A83="","",IF(AND(ISNUMBER(J83),J83&lt;TODAY()),"교체/확인",IF(AND(ISNUMBER(J83),J83&lt;=TODAY()+30),"30일 내",IF(AND(ISNUMBER(L83),L83&lt;=TODAY()),"점검 필요","정상"))))</x:f>
      </x:c>
      <x:c r="N83" s="21"/>
    </x:row>
    <x:row r="84">
      <x:c r="A84" s="21"/>
      <x:c r="B84" s="21"/>
      <x:c r="C84" s="21"/>
      <x:c r="D84" s="21"/>
      <x:c r="E84" s="21"/>
      <x:c r="F84" s="21"/>
      <x:c r="G84" s="21" t="str">
        <x:f>IF(A84="","",F84+SUMIFS('입출고 기록'!$E$2:$E$501,'입출고 기록'!$B$2:$B$501,A84,'입출고 기록'!$D$2:$D$501,"입고")-SUMIFS('입출고 기록'!$E$2:$E$501,'입출고 기록'!$B$2:$B$501,A84,'입출고 기록'!$D$2:$D$501,"출고")+SUMIFS('입출고 기록'!$E$2:$E$501,'입출고 기록'!$B$2:$B$501,A84,'입출고 기록'!$D$2:$D$501,"조정"))</x:f>
      </x:c>
      <x:c r="H84" s="21"/>
      <x:c r="I84" s="21" t="str">
        <x:f>IF(OR(A84="",H84=""),"",H84-G84)</x:f>
      </x:c>
      <x:c r="J84" s="52"/>
      <x:c r="K84" s="52"/>
      <x:c r="L84" s="52" t="str">
        <x:f>IF(K84="","",EDATE(K84,6))</x:f>
      </x:c>
      <x:c r="M84" s="21" t="str">
        <x:f>IF(A84="","",IF(AND(ISNUMBER(J84),J84&lt;TODAY()),"교체/확인",IF(AND(ISNUMBER(J84),J84&lt;=TODAY()+30),"30일 내",IF(AND(ISNUMBER(L84),L84&lt;=TODAY()),"점검 필요","정상"))))</x:f>
      </x:c>
      <x:c r="N84" s="21"/>
    </x:row>
    <x:row r="85">
      <x:c r="A85" s="21"/>
      <x:c r="B85" s="21"/>
      <x:c r="C85" s="21"/>
      <x:c r="D85" s="21"/>
      <x:c r="E85" s="21"/>
      <x:c r="F85" s="21"/>
      <x:c r="G85" s="21" t="str">
        <x:f>IF(A85="","",F85+SUMIFS('입출고 기록'!$E$2:$E$501,'입출고 기록'!$B$2:$B$501,A85,'입출고 기록'!$D$2:$D$501,"입고")-SUMIFS('입출고 기록'!$E$2:$E$501,'입출고 기록'!$B$2:$B$501,A85,'입출고 기록'!$D$2:$D$501,"출고")+SUMIFS('입출고 기록'!$E$2:$E$501,'입출고 기록'!$B$2:$B$501,A85,'입출고 기록'!$D$2:$D$501,"조정"))</x:f>
      </x:c>
      <x:c r="H85" s="21"/>
      <x:c r="I85" s="21" t="str">
        <x:f>IF(OR(A85="",H85=""),"",H85-G85)</x:f>
      </x:c>
      <x:c r="J85" s="52"/>
      <x:c r="K85" s="52"/>
      <x:c r="L85" s="52" t="str">
        <x:f>IF(K85="","",EDATE(K85,6))</x:f>
      </x:c>
      <x:c r="M85" s="21" t="str">
        <x:f>IF(A85="","",IF(AND(ISNUMBER(J85),J85&lt;TODAY()),"교체/확인",IF(AND(ISNUMBER(J85),J85&lt;=TODAY()+30),"30일 내",IF(AND(ISNUMBER(L85),L85&lt;=TODAY()),"점검 필요","정상"))))</x:f>
      </x:c>
      <x:c r="N85" s="21"/>
    </x:row>
    <x:row r="86">
      <x:c r="A86" s="21"/>
      <x:c r="B86" s="21"/>
      <x:c r="C86" s="21"/>
      <x:c r="D86" s="21"/>
      <x:c r="E86" s="21"/>
      <x:c r="F86" s="21"/>
      <x:c r="G86" s="21" t="str">
        <x:f>IF(A86="","",F86+SUMIFS('입출고 기록'!$E$2:$E$501,'입출고 기록'!$B$2:$B$501,A86,'입출고 기록'!$D$2:$D$501,"입고")-SUMIFS('입출고 기록'!$E$2:$E$501,'입출고 기록'!$B$2:$B$501,A86,'입출고 기록'!$D$2:$D$501,"출고")+SUMIFS('입출고 기록'!$E$2:$E$501,'입출고 기록'!$B$2:$B$501,A86,'입출고 기록'!$D$2:$D$501,"조정"))</x:f>
      </x:c>
      <x:c r="H86" s="21"/>
      <x:c r="I86" s="21" t="str">
        <x:f>IF(OR(A86="",H86=""),"",H86-G86)</x:f>
      </x:c>
      <x:c r="J86" s="52"/>
      <x:c r="K86" s="52"/>
      <x:c r="L86" s="52" t="str">
        <x:f>IF(K86="","",EDATE(K86,6))</x:f>
      </x:c>
      <x:c r="M86" s="21" t="str">
        <x:f>IF(A86="","",IF(AND(ISNUMBER(J86),J86&lt;TODAY()),"교체/확인",IF(AND(ISNUMBER(J86),J86&lt;=TODAY()+30),"30일 내",IF(AND(ISNUMBER(L86),L86&lt;=TODAY()),"점검 필요","정상"))))</x:f>
      </x:c>
      <x:c r="N86" s="21"/>
    </x:row>
    <x:row r="87">
      <x:c r="A87" s="21"/>
      <x:c r="B87" s="21"/>
      <x:c r="C87" s="21"/>
      <x:c r="D87" s="21"/>
      <x:c r="E87" s="21"/>
      <x:c r="F87" s="21"/>
      <x:c r="G87" s="21" t="str">
        <x:f>IF(A87="","",F87+SUMIFS('입출고 기록'!$E$2:$E$501,'입출고 기록'!$B$2:$B$501,A87,'입출고 기록'!$D$2:$D$501,"입고")-SUMIFS('입출고 기록'!$E$2:$E$501,'입출고 기록'!$B$2:$B$501,A87,'입출고 기록'!$D$2:$D$501,"출고")+SUMIFS('입출고 기록'!$E$2:$E$501,'입출고 기록'!$B$2:$B$501,A87,'입출고 기록'!$D$2:$D$501,"조정"))</x:f>
      </x:c>
      <x:c r="H87" s="21"/>
      <x:c r="I87" s="21" t="str">
        <x:f>IF(OR(A87="",H87=""),"",H87-G87)</x:f>
      </x:c>
      <x:c r="J87" s="52"/>
      <x:c r="K87" s="52"/>
      <x:c r="L87" s="52" t="str">
        <x:f>IF(K87="","",EDATE(K87,6))</x:f>
      </x:c>
      <x:c r="M87" s="21" t="str">
        <x:f>IF(A87="","",IF(AND(ISNUMBER(J87),J87&lt;TODAY()),"교체/확인",IF(AND(ISNUMBER(J87),J87&lt;=TODAY()+30),"30일 내",IF(AND(ISNUMBER(L87),L87&lt;=TODAY()),"점검 필요","정상"))))</x:f>
      </x:c>
      <x:c r="N87" s="21"/>
    </x:row>
    <x:row r="88">
      <x:c r="A88" s="21"/>
      <x:c r="B88" s="21"/>
      <x:c r="C88" s="21"/>
      <x:c r="D88" s="21"/>
      <x:c r="E88" s="21"/>
      <x:c r="F88" s="21"/>
      <x:c r="G88" s="21" t="str">
        <x:f>IF(A88="","",F88+SUMIFS('입출고 기록'!$E$2:$E$501,'입출고 기록'!$B$2:$B$501,A88,'입출고 기록'!$D$2:$D$501,"입고")-SUMIFS('입출고 기록'!$E$2:$E$501,'입출고 기록'!$B$2:$B$501,A88,'입출고 기록'!$D$2:$D$501,"출고")+SUMIFS('입출고 기록'!$E$2:$E$501,'입출고 기록'!$B$2:$B$501,A88,'입출고 기록'!$D$2:$D$501,"조정"))</x:f>
      </x:c>
      <x:c r="H88" s="21"/>
      <x:c r="I88" s="21" t="str">
        <x:f>IF(OR(A88="",H88=""),"",H88-G88)</x:f>
      </x:c>
      <x:c r="J88" s="52"/>
      <x:c r="K88" s="52"/>
      <x:c r="L88" s="52" t="str">
        <x:f>IF(K88="","",EDATE(K88,6))</x:f>
      </x:c>
      <x:c r="M88" s="21" t="str">
        <x:f>IF(A88="","",IF(AND(ISNUMBER(J88),J88&lt;TODAY()),"교체/확인",IF(AND(ISNUMBER(J88),J88&lt;=TODAY()+30),"30일 내",IF(AND(ISNUMBER(L88),L88&lt;=TODAY()),"점검 필요","정상"))))</x:f>
      </x:c>
      <x:c r="N88" s="21"/>
    </x:row>
    <x:row r="89">
      <x:c r="A89" s="21"/>
      <x:c r="B89" s="21"/>
      <x:c r="C89" s="21"/>
      <x:c r="D89" s="21"/>
      <x:c r="E89" s="21"/>
      <x:c r="F89" s="21"/>
      <x:c r="G89" s="21" t="str">
        <x:f>IF(A89="","",F89+SUMIFS('입출고 기록'!$E$2:$E$501,'입출고 기록'!$B$2:$B$501,A89,'입출고 기록'!$D$2:$D$501,"입고")-SUMIFS('입출고 기록'!$E$2:$E$501,'입출고 기록'!$B$2:$B$501,A89,'입출고 기록'!$D$2:$D$501,"출고")+SUMIFS('입출고 기록'!$E$2:$E$501,'입출고 기록'!$B$2:$B$501,A89,'입출고 기록'!$D$2:$D$501,"조정"))</x:f>
      </x:c>
      <x:c r="H89" s="21"/>
      <x:c r="I89" s="21" t="str">
        <x:f>IF(OR(A89="",H89=""),"",H89-G89)</x:f>
      </x:c>
      <x:c r="J89" s="52"/>
      <x:c r="K89" s="52"/>
      <x:c r="L89" s="52" t="str">
        <x:f>IF(K89="","",EDATE(K89,6))</x:f>
      </x:c>
      <x:c r="M89" s="21" t="str">
        <x:f>IF(A89="","",IF(AND(ISNUMBER(J89),J89&lt;TODAY()),"교체/확인",IF(AND(ISNUMBER(J89),J89&lt;=TODAY()+30),"30일 내",IF(AND(ISNUMBER(L89),L89&lt;=TODAY()),"점검 필요","정상"))))</x:f>
      </x:c>
      <x:c r="N89" s="21"/>
    </x:row>
    <x:row r="90">
      <x:c r="A90" s="21"/>
      <x:c r="B90" s="21"/>
      <x:c r="C90" s="21"/>
      <x:c r="D90" s="21"/>
      <x:c r="E90" s="21"/>
      <x:c r="F90" s="21"/>
      <x:c r="G90" s="21" t="str">
        <x:f>IF(A90="","",F90+SUMIFS('입출고 기록'!$E$2:$E$501,'입출고 기록'!$B$2:$B$501,A90,'입출고 기록'!$D$2:$D$501,"입고")-SUMIFS('입출고 기록'!$E$2:$E$501,'입출고 기록'!$B$2:$B$501,A90,'입출고 기록'!$D$2:$D$501,"출고")+SUMIFS('입출고 기록'!$E$2:$E$501,'입출고 기록'!$B$2:$B$501,A90,'입출고 기록'!$D$2:$D$501,"조정"))</x:f>
      </x:c>
      <x:c r="H90" s="21"/>
      <x:c r="I90" s="21" t="str">
        <x:f>IF(OR(A90="",H90=""),"",H90-G90)</x:f>
      </x:c>
      <x:c r="J90" s="52"/>
      <x:c r="K90" s="52"/>
      <x:c r="L90" s="52" t="str">
        <x:f>IF(K90="","",EDATE(K90,6))</x:f>
      </x:c>
      <x:c r="M90" s="21" t="str">
        <x:f>IF(A90="","",IF(AND(ISNUMBER(J90),J90&lt;TODAY()),"교체/확인",IF(AND(ISNUMBER(J90),J90&lt;=TODAY()+30),"30일 내",IF(AND(ISNUMBER(L90),L90&lt;=TODAY()),"점검 필요","정상"))))</x:f>
      </x:c>
      <x:c r="N90" s="21"/>
    </x:row>
    <x:row r="91">
      <x:c r="A91" s="21"/>
      <x:c r="B91" s="21"/>
      <x:c r="C91" s="21"/>
      <x:c r="D91" s="21"/>
      <x:c r="E91" s="21"/>
      <x:c r="F91" s="21"/>
      <x:c r="G91" s="21" t="str">
        <x:f>IF(A91="","",F91+SUMIFS('입출고 기록'!$E$2:$E$501,'입출고 기록'!$B$2:$B$501,A91,'입출고 기록'!$D$2:$D$501,"입고")-SUMIFS('입출고 기록'!$E$2:$E$501,'입출고 기록'!$B$2:$B$501,A91,'입출고 기록'!$D$2:$D$501,"출고")+SUMIFS('입출고 기록'!$E$2:$E$501,'입출고 기록'!$B$2:$B$501,A91,'입출고 기록'!$D$2:$D$501,"조정"))</x:f>
      </x:c>
      <x:c r="H91" s="21"/>
      <x:c r="I91" s="21" t="str">
        <x:f>IF(OR(A91="",H91=""),"",H91-G91)</x:f>
      </x:c>
      <x:c r="J91" s="52"/>
      <x:c r="K91" s="52"/>
      <x:c r="L91" s="52" t="str">
        <x:f>IF(K91="","",EDATE(K91,6))</x:f>
      </x:c>
      <x:c r="M91" s="21" t="str">
        <x:f>IF(A91="","",IF(AND(ISNUMBER(J91),J91&lt;TODAY()),"교체/확인",IF(AND(ISNUMBER(J91),J91&lt;=TODAY()+30),"30일 내",IF(AND(ISNUMBER(L91),L91&lt;=TODAY()),"점검 필요","정상"))))</x:f>
      </x:c>
      <x:c r="N91" s="21"/>
    </x:row>
    <x:row r="92">
      <x:c r="A92" s="21"/>
      <x:c r="B92" s="21"/>
      <x:c r="C92" s="21"/>
      <x:c r="D92" s="21"/>
      <x:c r="E92" s="21"/>
      <x:c r="F92" s="21"/>
      <x:c r="G92" s="21" t="str">
        <x:f>IF(A92="","",F92+SUMIFS('입출고 기록'!$E$2:$E$501,'입출고 기록'!$B$2:$B$501,A92,'입출고 기록'!$D$2:$D$501,"입고")-SUMIFS('입출고 기록'!$E$2:$E$501,'입출고 기록'!$B$2:$B$501,A92,'입출고 기록'!$D$2:$D$501,"출고")+SUMIFS('입출고 기록'!$E$2:$E$501,'입출고 기록'!$B$2:$B$501,A92,'입출고 기록'!$D$2:$D$501,"조정"))</x:f>
      </x:c>
      <x:c r="H92" s="21"/>
      <x:c r="I92" s="21" t="str">
        <x:f>IF(OR(A92="",H92=""),"",H92-G92)</x:f>
      </x:c>
      <x:c r="J92" s="52"/>
      <x:c r="K92" s="52"/>
      <x:c r="L92" s="52" t="str">
        <x:f>IF(K92="","",EDATE(K92,6))</x:f>
      </x:c>
      <x:c r="M92" s="21" t="str">
        <x:f>IF(A92="","",IF(AND(ISNUMBER(J92),J92&lt;TODAY()),"교체/확인",IF(AND(ISNUMBER(J92),J92&lt;=TODAY()+30),"30일 내",IF(AND(ISNUMBER(L92),L92&lt;=TODAY()),"점검 필요","정상"))))</x:f>
      </x:c>
      <x:c r="N92" s="21"/>
    </x:row>
    <x:row r="93">
      <x:c r="A93" s="21"/>
      <x:c r="B93" s="21"/>
      <x:c r="C93" s="21"/>
      <x:c r="D93" s="21"/>
      <x:c r="E93" s="21"/>
      <x:c r="F93" s="21"/>
      <x:c r="G93" s="21" t="str">
        <x:f>IF(A93="","",F93+SUMIFS('입출고 기록'!$E$2:$E$501,'입출고 기록'!$B$2:$B$501,A93,'입출고 기록'!$D$2:$D$501,"입고")-SUMIFS('입출고 기록'!$E$2:$E$501,'입출고 기록'!$B$2:$B$501,A93,'입출고 기록'!$D$2:$D$501,"출고")+SUMIFS('입출고 기록'!$E$2:$E$501,'입출고 기록'!$B$2:$B$501,A93,'입출고 기록'!$D$2:$D$501,"조정"))</x:f>
      </x:c>
      <x:c r="H93" s="21"/>
      <x:c r="I93" s="21" t="str">
        <x:f>IF(OR(A93="",H93=""),"",H93-G93)</x:f>
      </x:c>
      <x:c r="J93" s="52"/>
      <x:c r="K93" s="52"/>
      <x:c r="L93" s="52" t="str">
        <x:f>IF(K93="","",EDATE(K93,6))</x:f>
      </x:c>
      <x:c r="M93" s="21" t="str">
        <x:f>IF(A93="","",IF(AND(ISNUMBER(J93),J93&lt;TODAY()),"교체/확인",IF(AND(ISNUMBER(J93),J93&lt;=TODAY()+30),"30일 내",IF(AND(ISNUMBER(L93),L93&lt;=TODAY()),"점검 필요","정상"))))</x:f>
      </x:c>
      <x:c r="N93" s="21"/>
    </x:row>
    <x:row r="94">
      <x:c r="A94" s="21"/>
      <x:c r="B94" s="21"/>
      <x:c r="C94" s="21"/>
      <x:c r="D94" s="21"/>
      <x:c r="E94" s="21"/>
      <x:c r="F94" s="21"/>
      <x:c r="G94" s="21" t="str">
        <x:f>IF(A94="","",F94+SUMIFS('입출고 기록'!$E$2:$E$501,'입출고 기록'!$B$2:$B$501,A94,'입출고 기록'!$D$2:$D$501,"입고")-SUMIFS('입출고 기록'!$E$2:$E$501,'입출고 기록'!$B$2:$B$501,A94,'입출고 기록'!$D$2:$D$501,"출고")+SUMIFS('입출고 기록'!$E$2:$E$501,'입출고 기록'!$B$2:$B$501,A94,'입출고 기록'!$D$2:$D$501,"조정"))</x:f>
      </x:c>
      <x:c r="H94" s="21"/>
      <x:c r="I94" s="21" t="str">
        <x:f>IF(OR(A94="",H94=""),"",H94-G94)</x:f>
      </x:c>
      <x:c r="J94" s="52"/>
      <x:c r="K94" s="52"/>
      <x:c r="L94" s="52" t="str">
        <x:f>IF(K94="","",EDATE(K94,6))</x:f>
      </x:c>
      <x:c r="M94" s="21" t="str">
        <x:f>IF(A94="","",IF(AND(ISNUMBER(J94),J94&lt;TODAY()),"교체/확인",IF(AND(ISNUMBER(J94),J94&lt;=TODAY()+30),"30일 내",IF(AND(ISNUMBER(L94),L94&lt;=TODAY()),"점검 필요","정상"))))</x:f>
      </x:c>
      <x:c r="N94" s="21"/>
    </x:row>
    <x:row r="95">
      <x:c r="A95" s="21"/>
      <x:c r="B95" s="21"/>
      <x:c r="C95" s="21"/>
      <x:c r="D95" s="21"/>
      <x:c r="E95" s="21"/>
      <x:c r="F95" s="21"/>
      <x:c r="G95" s="21" t="str">
        <x:f>IF(A95="","",F95+SUMIFS('입출고 기록'!$E$2:$E$501,'입출고 기록'!$B$2:$B$501,A95,'입출고 기록'!$D$2:$D$501,"입고")-SUMIFS('입출고 기록'!$E$2:$E$501,'입출고 기록'!$B$2:$B$501,A95,'입출고 기록'!$D$2:$D$501,"출고")+SUMIFS('입출고 기록'!$E$2:$E$501,'입출고 기록'!$B$2:$B$501,A95,'입출고 기록'!$D$2:$D$501,"조정"))</x:f>
      </x:c>
      <x:c r="H95" s="21"/>
      <x:c r="I95" s="21" t="str">
        <x:f>IF(OR(A95="",H95=""),"",H95-G95)</x:f>
      </x:c>
      <x:c r="J95" s="52"/>
      <x:c r="K95" s="52"/>
      <x:c r="L95" s="52" t="str">
        <x:f>IF(K95="","",EDATE(K95,6))</x:f>
      </x:c>
      <x:c r="M95" s="21" t="str">
        <x:f>IF(A95="","",IF(AND(ISNUMBER(J95),J95&lt;TODAY()),"교체/확인",IF(AND(ISNUMBER(J95),J95&lt;=TODAY()+30),"30일 내",IF(AND(ISNUMBER(L95),L95&lt;=TODAY()),"점검 필요","정상"))))</x:f>
      </x:c>
      <x:c r="N95" s="21"/>
    </x:row>
    <x:row r="96">
      <x:c r="A96" s="21"/>
      <x:c r="B96" s="21"/>
      <x:c r="C96" s="21"/>
      <x:c r="D96" s="21"/>
      <x:c r="E96" s="21"/>
      <x:c r="F96" s="21"/>
      <x:c r="G96" s="21" t="str">
        <x:f>IF(A96="","",F96+SUMIFS('입출고 기록'!$E$2:$E$501,'입출고 기록'!$B$2:$B$501,A96,'입출고 기록'!$D$2:$D$501,"입고")-SUMIFS('입출고 기록'!$E$2:$E$501,'입출고 기록'!$B$2:$B$501,A96,'입출고 기록'!$D$2:$D$501,"출고")+SUMIFS('입출고 기록'!$E$2:$E$501,'입출고 기록'!$B$2:$B$501,A96,'입출고 기록'!$D$2:$D$501,"조정"))</x:f>
      </x:c>
      <x:c r="H96" s="21"/>
      <x:c r="I96" s="21" t="str">
        <x:f>IF(OR(A96="",H96=""),"",H96-G96)</x:f>
      </x:c>
      <x:c r="J96" s="52"/>
      <x:c r="K96" s="52"/>
      <x:c r="L96" s="52" t="str">
        <x:f>IF(K96="","",EDATE(K96,6))</x:f>
      </x:c>
      <x:c r="M96" s="21" t="str">
        <x:f>IF(A96="","",IF(AND(ISNUMBER(J96),J96&lt;TODAY()),"교체/확인",IF(AND(ISNUMBER(J96),J96&lt;=TODAY()+30),"30일 내",IF(AND(ISNUMBER(L96),L96&lt;=TODAY()),"점검 필요","정상"))))</x:f>
      </x:c>
      <x:c r="N96" s="21"/>
    </x:row>
    <x:row r="97">
      <x:c r="A97" s="21"/>
      <x:c r="B97" s="21"/>
      <x:c r="C97" s="21"/>
      <x:c r="D97" s="21"/>
      <x:c r="E97" s="21"/>
      <x:c r="F97" s="21"/>
      <x:c r="G97" s="21" t="str">
        <x:f>IF(A97="","",F97+SUMIFS('입출고 기록'!$E$2:$E$501,'입출고 기록'!$B$2:$B$501,A97,'입출고 기록'!$D$2:$D$501,"입고")-SUMIFS('입출고 기록'!$E$2:$E$501,'입출고 기록'!$B$2:$B$501,A97,'입출고 기록'!$D$2:$D$501,"출고")+SUMIFS('입출고 기록'!$E$2:$E$501,'입출고 기록'!$B$2:$B$501,A97,'입출고 기록'!$D$2:$D$501,"조정"))</x:f>
      </x:c>
      <x:c r="H97" s="21"/>
      <x:c r="I97" s="21" t="str">
        <x:f>IF(OR(A97="",H97=""),"",H97-G97)</x:f>
      </x:c>
      <x:c r="J97" s="52"/>
      <x:c r="K97" s="52"/>
      <x:c r="L97" s="52" t="str">
        <x:f>IF(K97="","",EDATE(K97,6))</x:f>
      </x:c>
      <x:c r="M97" s="21" t="str">
        <x:f>IF(A97="","",IF(AND(ISNUMBER(J97),J97&lt;TODAY()),"교체/확인",IF(AND(ISNUMBER(J97),J97&lt;=TODAY()+30),"30일 내",IF(AND(ISNUMBER(L97),L97&lt;=TODAY()),"점검 필요","정상"))))</x:f>
      </x:c>
      <x:c r="N97" s="21"/>
    </x:row>
    <x:row r="98">
      <x:c r="A98" s="21"/>
      <x:c r="B98" s="21"/>
      <x:c r="C98" s="21"/>
      <x:c r="D98" s="21"/>
      <x:c r="E98" s="21"/>
      <x:c r="F98" s="21"/>
      <x:c r="G98" s="21" t="str">
        <x:f>IF(A98="","",F98+SUMIFS('입출고 기록'!$E$2:$E$501,'입출고 기록'!$B$2:$B$501,A98,'입출고 기록'!$D$2:$D$501,"입고")-SUMIFS('입출고 기록'!$E$2:$E$501,'입출고 기록'!$B$2:$B$501,A98,'입출고 기록'!$D$2:$D$501,"출고")+SUMIFS('입출고 기록'!$E$2:$E$501,'입출고 기록'!$B$2:$B$501,A98,'입출고 기록'!$D$2:$D$501,"조정"))</x:f>
      </x:c>
      <x:c r="H98" s="21"/>
      <x:c r="I98" s="21" t="str">
        <x:f>IF(OR(A98="",H98=""),"",H98-G98)</x:f>
      </x:c>
      <x:c r="J98" s="52"/>
      <x:c r="K98" s="52"/>
      <x:c r="L98" s="52" t="str">
        <x:f>IF(K98="","",EDATE(K98,6))</x:f>
      </x:c>
      <x:c r="M98" s="21" t="str">
        <x:f>IF(A98="","",IF(AND(ISNUMBER(J98),J98&lt;TODAY()),"교체/확인",IF(AND(ISNUMBER(J98),J98&lt;=TODAY()+30),"30일 내",IF(AND(ISNUMBER(L98),L98&lt;=TODAY()),"점검 필요","정상"))))</x:f>
      </x:c>
      <x:c r="N98" s="21"/>
    </x:row>
    <x:row r="99">
      <x:c r="A99" s="21"/>
      <x:c r="B99" s="21"/>
      <x:c r="C99" s="21"/>
      <x:c r="D99" s="21"/>
      <x:c r="E99" s="21"/>
      <x:c r="F99" s="21"/>
      <x:c r="G99" s="21" t="str">
        <x:f>IF(A99="","",F99+SUMIFS('입출고 기록'!$E$2:$E$501,'입출고 기록'!$B$2:$B$501,A99,'입출고 기록'!$D$2:$D$501,"입고")-SUMIFS('입출고 기록'!$E$2:$E$501,'입출고 기록'!$B$2:$B$501,A99,'입출고 기록'!$D$2:$D$501,"출고")+SUMIFS('입출고 기록'!$E$2:$E$501,'입출고 기록'!$B$2:$B$501,A99,'입출고 기록'!$D$2:$D$501,"조정"))</x:f>
      </x:c>
      <x:c r="H99" s="21"/>
      <x:c r="I99" s="21" t="str">
        <x:f>IF(OR(A99="",H99=""),"",H99-G99)</x:f>
      </x:c>
      <x:c r="J99" s="52"/>
      <x:c r="K99" s="52"/>
      <x:c r="L99" s="52" t="str">
        <x:f>IF(K99="","",EDATE(K99,6))</x:f>
      </x:c>
      <x:c r="M99" s="21" t="str">
        <x:f>IF(A99="","",IF(AND(ISNUMBER(J99),J99&lt;TODAY()),"교체/확인",IF(AND(ISNUMBER(J99),J99&lt;=TODAY()+30),"30일 내",IF(AND(ISNUMBER(L99),L99&lt;=TODAY()),"점검 필요","정상"))))</x:f>
      </x:c>
      <x:c r="N99" s="21"/>
    </x:row>
    <x:row r="100">
      <x:c r="A100" s="21"/>
      <x:c r="B100" s="21"/>
      <x:c r="C100" s="21"/>
      <x:c r="D100" s="21"/>
      <x:c r="E100" s="21"/>
      <x:c r="F100" s="21"/>
      <x:c r="G100" s="21" t="str">
        <x:f>IF(A100="","",F100+SUMIFS('입출고 기록'!$E$2:$E$501,'입출고 기록'!$B$2:$B$501,A100,'입출고 기록'!$D$2:$D$501,"입고")-SUMIFS('입출고 기록'!$E$2:$E$501,'입출고 기록'!$B$2:$B$501,A100,'입출고 기록'!$D$2:$D$501,"출고")+SUMIFS('입출고 기록'!$E$2:$E$501,'입출고 기록'!$B$2:$B$501,A100,'입출고 기록'!$D$2:$D$501,"조정"))</x:f>
      </x:c>
      <x:c r="H100" s="21"/>
      <x:c r="I100" s="21" t="str">
        <x:f>IF(OR(A100="",H100=""),"",H100-G100)</x:f>
      </x:c>
      <x:c r="J100" s="52"/>
      <x:c r="K100" s="52"/>
      <x:c r="L100" s="52" t="str">
        <x:f>IF(K100="","",EDATE(K100,6))</x:f>
      </x:c>
      <x:c r="M100" s="21" t="str">
        <x:f>IF(A100="","",IF(AND(ISNUMBER(J100),J100&lt;TODAY()),"교체/확인",IF(AND(ISNUMBER(J100),J100&lt;=TODAY()+30),"30일 내",IF(AND(ISNUMBER(L100),L100&lt;=TODAY()),"점검 필요","정상"))))</x:f>
      </x:c>
      <x:c r="N100" s="21"/>
    </x:row>
    <x:row r="101">
      <x:c r="A101" s="21"/>
      <x:c r="B101" s="21"/>
      <x:c r="C101" s="21"/>
      <x:c r="D101" s="21"/>
      <x:c r="E101" s="21"/>
      <x:c r="F101" s="21"/>
      <x:c r="G101" s="21" t="str">
        <x:f>IF(A101="","",F101+SUMIFS('입출고 기록'!$E$2:$E$501,'입출고 기록'!$B$2:$B$501,A101,'입출고 기록'!$D$2:$D$501,"입고")-SUMIFS('입출고 기록'!$E$2:$E$501,'입출고 기록'!$B$2:$B$501,A101,'입출고 기록'!$D$2:$D$501,"출고")+SUMIFS('입출고 기록'!$E$2:$E$501,'입출고 기록'!$B$2:$B$501,A101,'입출고 기록'!$D$2:$D$501,"조정"))</x:f>
      </x:c>
      <x:c r="H101" s="21"/>
      <x:c r="I101" s="21" t="str">
        <x:f>IF(OR(A101="",H101=""),"",H101-G101)</x:f>
      </x:c>
      <x:c r="J101" s="52"/>
      <x:c r="K101" s="52"/>
      <x:c r="L101" s="52" t="str">
        <x:f>IF(K101="","",EDATE(K101,6))</x:f>
      </x:c>
      <x:c r="M101" s="21" t="str">
        <x:f>IF(A101="","",IF(AND(ISNUMBER(J101),J101&lt;TODAY()),"교체/확인",IF(AND(ISNUMBER(J101),J101&lt;=TODAY()+30),"30일 내",IF(AND(ISNUMBER(L101),L101&lt;=TODAY()),"점검 필요","정상"))))</x:f>
      </x:c>
      <x:c r="N101" s="21"/>
    </x:row>
    <x:row r="102">
      <x:c r="A102" s="21"/>
      <x:c r="B102" s="21"/>
      <x:c r="C102" s="21"/>
      <x:c r="D102" s="21"/>
      <x:c r="E102" s="21"/>
      <x:c r="F102" s="21"/>
      <x:c r="G102" s="21" t="str">
        <x:f>IF(A102="","",F102+SUMIFS('입출고 기록'!$E$2:$E$501,'입출고 기록'!$B$2:$B$501,A102,'입출고 기록'!$D$2:$D$501,"입고")-SUMIFS('입출고 기록'!$E$2:$E$501,'입출고 기록'!$B$2:$B$501,A102,'입출고 기록'!$D$2:$D$501,"출고")+SUMIFS('입출고 기록'!$E$2:$E$501,'입출고 기록'!$B$2:$B$501,A102,'입출고 기록'!$D$2:$D$501,"조정"))</x:f>
      </x:c>
      <x:c r="H102" s="21"/>
      <x:c r="I102" s="21" t="str">
        <x:f>IF(OR(A102="",H102=""),"",H102-G102)</x:f>
      </x:c>
      <x:c r="J102" s="52"/>
      <x:c r="K102" s="52"/>
      <x:c r="L102" s="52" t="str">
        <x:f>IF(K102="","",EDATE(K102,6))</x:f>
      </x:c>
      <x:c r="M102" s="21" t="str">
        <x:f>IF(A102="","",IF(AND(ISNUMBER(J102),J102&lt;TODAY()),"교체/확인",IF(AND(ISNUMBER(J102),J102&lt;=TODAY()+30),"30일 내",IF(AND(ISNUMBER(L102),L102&lt;=TODAY()),"점검 필요","정상"))))</x:f>
      </x:c>
      <x:c r="N102" s="21"/>
    </x:row>
    <x:row r="103">
      <x:c r="A103" s="21"/>
      <x:c r="B103" s="21"/>
      <x:c r="C103" s="21"/>
      <x:c r="D103" s="21"/>
      <x:c r="E103" s="21"/>
      <x:c r="F103" s="21"/>
      <x:c r="G103" s="21" t="str">
        <x:f>IF(A103="","",F103+SUMIFS('입출고 기록'!$E$2:$E$501,'입출고 기록'!$B$2:$B$501,A103,'입출고 기록'!$D$2:$D$501,"입고")-SUMIFS('입출고 기록'!$E$2:$E$501,'입출고 기록'!$B$2:$B$501,A103,'입출고 기록'!$D$2:$D$501,"출고")+SUMIFS('입출고 기록'!$E$2:$E$501,'입출고 기록'!$B$2:$B$501,A103,'입출고 기록'!$D$2:$D$501,"조정"))</x:f>
      </x:c>
      <x:c r="H103" s="21"/>
      <x:c r="I103" s="21" t="str">
        <x:f>IF(OR(A103="",H103=""),"",H103-G103)</x:f>
      </x:c>
      <x:c r="J103" s="52"/>
      <x:c r="K103" s="52"/>
      <x:c r="L103" s="52" t="str">
        <x:f>IF(K103="","",EDATE(K103,6))</x:f>
      </x:c>
      <x:c r="M103" s="21" t="str">
        <x:f>IF(A103="","",IF(AND(ISNUMBER(J103),J103&lt;TODAY()),"교체/확인",IF(AND(ISNUMBER(J103),J103&lt;=TODAY()+30),"30일 내",IF(AND(ISNUMBER(L103),L103&lt;=TODAY()),"점검 필요","정상"))))</x:f>
      </x:c>
      <x:c r="N103" s="21"/>
    </x:row>
    <x:row r="104">
      <x:c r="A104" s="21"/>
      <x:c r="B104" s="21"/>
      <x:c r="C104" s="21"/>
      <x:c r="D104" s="21"/>
      <x:c r="E104" s="21"/>
      <x:c r="F104" s="21"/>
      <x:c r="G104" s="21" t="str">
        <x:f>IF(A104="","",F104+SUMIFS('입출고 기록'!$E$2:$E$501,'입출고 기록'!$B$2:$B$501,A104,'입출고 기록'!$D$2:$D$501,"입고")-SUMIFS('입출고 기록'!$E$2:$E$501,'입출고 기록'!$B$2:$B$501,A104,'입출고 기록'!$D$2:$D$501,"출고")+SUMIFS('입출고 기록'!$E$2:$E$501,'입출고 기록'!$B$2:$B$501,A104,'입출고 기록'!$D$2:$D$501,"조정"))</x:f>
      </x:c>
      <x:c r="H104" s="21"/>
      <x:c r="I104" s="21" t="str">
        <x:f>IF(OR(A104="",H104=""),"",H104-G104)</x:f>
      </x:c>
      <x:c r="J104" s="52"/>
      <x:c r="K104" s="52"/>
      <x:c r="L104" s="52" t="str">
        <x:f>IF(K104="","",EDATE(K104,6))</x:f>
      </x:c>
      <x:c r="M104" s="21" t="str">
        <x:f>IF(A104="","",IF(AND(ISNUMBER(J104),J104&lt;TODAY()),"교체/확인",IF(AND(ISNUMBER(J104),J104&lt;=TODAY()+30),"30일 내",IF(AND(ISNUMBER(L104),L104&lt;=TODAY()),"점검 필요","정상"))))</x:f>
      </x:c>
      <x:c r="N104" s="21"/>
    </x:row>
    <x:row r="105">
      <x:c r="A105" s="21"/>
      <x:c r="B105" s="21"/>
      <x:c r="C105" s="21"/>
      <x:c r="D105" s="21"/>
      <x:c r="E105" s="21"/>
      <x:c r="F105" s="21"/>
      <x:c r="G105" s="21" t="str">
        <x:f>IF(A105="","",F105+SUMIFS('입출고 기록'!$E$2:$E$501,'입출고 기록'!$B$2:$B$501,A105,'입출고 기록'!$D$2:$D$501,"입고")-SUMIFS('입출고 기록'!$E$2:$E$501,'입출고 기록'!$B$2:$B$501,A105,'입출고 기록'!$D$2:$D$501,"출고")+SUMIFS('입출고 기록'!$E$2:$E$501,'입출고 기록'!$B$2:$B$501,A105,'입출고 기록'!$D$2:$D$501,"조정"))</x:f>
      </x:c>
      <x:c r="H105" s="21"/>
      <x:c r="I105" s="21" t="str">
        <x:f>IF(OR(A105="",H105=""),"",H105-G105)</x:f>
      </x:c>
      <x:c r="J105" s="52"/>
      <x:c r="K105" s="52"/>
      <x:c r="L105" s="52" t="str">
        <x:f>IF(K105="","",EDATE(K105,6))</x:f>
      </x:c>
      <x:c r="M105" s="21" t="str">
        <x:f>IF(A105="","",IF(AND(ISNUMBER(J105),J105&lt;TODAY()),"교체/확인",IF(AND(ISNUMBER(J105),J105&lt;=TODAY()+30),"30일 내",IF(AND(ISNUMBER(L105),L105&lt;=TODAY()),"점검 필요","정상"))))</x:f>
      </x:c>
      <x:c r="N105" s="21"/>
    </x:row>
    <x:row r="106">
      <x:c r="A106" s="21"/>
      <x:c r="B106" s="21"/>
      <x:c r="C106" s="21"/>
      <x:c r="D106" s="21"/>
      <x:c r="E106" s="21"/>
      <x:c r="F106" s="21"/>
      <x:c r="G106" s="21" t="str">
        <x:f>IF(A106="","",F106+SUMIFS('입출고 기록'!$E$2:$E$501,'입출고 기록'!$B$2:$B$501,A106,'입출고 기록'!$D$2:$D$501,"입고")-SUMIFS('입출고 기록'!$E$2:$E$501,'입출고 기록'!$B$2:$B$501,A106,'입출고 기록'!$D$2:$D$501,"출고")+SUMIFS('입출고 기록'!$E$2:$E$501,'입출고 기록'!$B$2:$B$501,A106,'입출고 기록'!$D$2:$D$501,"조정"))</x:f>
      </x:c>
      <x:c r="H106" s="21"/>
      <x:c r="I106" s="21" t="str">
        <x:f>IF(OR(A106="",H106=""),"",H106-G106)</x:f>
      </x:c>
      <x:c r="J106" s="52"/>
      <x:c r="K106" s="52"/>
      <x:c r="L106" s="52" t="str">
        <x:f>IF(K106="","",EDATE(K106,6))</x:f>
      </x:c>
      <x:c r="M106" s="21" t="str">
        <x:f>IF(A106="","",IF(AND(ISNUMBER(J106),J106&lt;TODAY()),"교체/확인",IF(AND(ISNUMBER(J106),J106&lt;=TODAY()+30),"30일 내",IF(AND(ISNUMBER(L106),L106&lt;=TODAY()),"점검 필요","정상"))))</x:f>
      </x:c>
      <x:c r="N106" s="21"/>
    </x:row>
  </x:sheetData>
  <x:mergeCells>
    <x:mergeCell ref="A1:N1"/>
  </x:mergeCells>
  <x:conditionalFormatting sqref="I7:I106">
    <x:cfRule type="expression" dxfId="0" priority="1">
      <x:formula>I7&lt;&gt;0</x:formula>
    </x:cfRule>
  </x:conditionalFormatting>
  <x:conditionalFormatting sqref="M7:M106">
    <x:cfRule type="expression" dxfId="1" priority="2">
      <x:formula>M7="정상"</x:formula>
    </x:cfRule>
    <x:cfRule type="expression" dxfId="2" priority="3">
      <x:formula>M7="30일 내"</x:formula>
    </x:cfRule>
    <x:cfRule type="expression" dxfId="3" priority="4">
      <x:formula>OR(M7="점검 필요",M7="교체/확인")</x:formula>
    </x:cfRule>
  </x:conditionalFormatting>
  <x:dataValidations count="3">
    <x:dataValidation type="list" sqref="B7:B106">
      <x:formula1>설정!$A$2:$A$9</x:formula1>
    </x:dataValidation>
    <x:dataValidation type="decimal" sqref="F7:F106">
      <x:formula1>0</x:formula1>
    </x:dataValidation>
    <x:dataValidation type="decimal" sqref="H7:H1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e4492984de4c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10" hidden="0" customWidth="1"/>
    <x:col min="5" max="5" width="10" hidden="0" customWidth="1"/>
    <x:col min="6" max="6" width="9" hidden="0" customWidth="1"/>
    <x:col min="7" max="7" width="22" hidden="0" customWidth="1"/>
    <x:col min="8" max="8" width="18" hidden="0" customWidth="1"/>
    <x:col min="9" max="9" width="28" hidden="0" customWidth="1"/>
  </x:cols>
  <x:sheetData>
    <x:row r="1">
      <x:c r="A1" s="43" t="str">
        <x:v>날짜</x:v>
      </x:c>
      <x:c r="B1" s="43" t="str">
        <x:v>품목ID</x:v>
      </x:c>
      <x:c r="C1" s="43" t="str">
        <x:v>품목명</x:v>
      </x:c>
      <x:c r="D1" s="43" t="str">
        <x:v>유형</x:v>
      </x:c>
      <x:c r="E1" s="43" t="str">
        <x:v>수량</x:v>
      </x:c>
      <x:c r="F1" s="43" t="str">
        <x:v>단위</x:v>
      </x:c>
      <x:c r="G1" s="43" t="str">
        <x:v>사유</x:v>
      </x:c>
      <x:c r="H1" s="43" t="str">
        <x:v>보관 위치</x:v>
      </x:c>
      <x:c r="I1" s="43" t="str">
        <x:v>메모</x:v>
      </x:c>
    </x:row>
    <x:row r="2">
      <x:c r="A2" s="50"/>
    </x:row>
    <x:row r="3">
      <x:c r="A3" s="50"/>
    </x:row>
    <x:row r="4">
      <x:c r="A4" s="50"/>
    </x:row>
    <x:row r="5">
      <x:c r="A5" s="50"/>
    </x:row>
    <x:row r="6">
      <x:c r="A6" s="50"/>
    </x:row>
    <x:row r="7">
      <x:c r="A7" s="50"/>
    </x:row>
    <x:row r="8">
      <x:c r="A8" s="50"/>
    </x:row>
    <x:row r="9">
      <x:c r="A9" s="50"/>
    </x:row>
    <x:row r="10">
      <x:c r="A10" s="50"/>
    </x:row>
    <x:row r="11">
      <x:c r="A11" s="50"/>
    </x:row>
    <x:row r="12">
      <x:c r="A12" s="50"/>
    </x:row>
    <x:row r="13">
      <x:c r="A13" s="50"/>
    </x:row>
    <x:row r="14">
      <x:c r="A14" s="50"/>
    </x:row>
    <x:row r="15">
      <x:c r="A15" s="50"/>
    </x:row>
    <x:row r="16">
      <x:c r="A16" s="50"/>
    </x:row>
    <x:row r="17">
      <x:c r="A17" s="50"/>
    </x:row>
    <x:row r="18">
      <x:c r="A18" s="50"/>
    </x:row>
    <x:row r="19">
      <x:c r="A19" s="50"/>
    </x:row>
    <x:row r="20">
      <x:c r="A20" s="50"/>
    </x:row>
    <x:row r="21">
      <x:c r="A21" s="50"/>
    </x:row>
    <x:row r="22">
      <x:c r="A22" s="50"/>
    </x:row>
    <x:row r="23">
      <x:c r="A23" s="50"/>
    </x:row>
    <x:row r="24">
      <x:c r="A24" s="50"/>
    </x:row>
    <x:row r="25">
      <x:c r="A25" s="50"/>
    </x:row>
    <x:row r="26">
      <x:c r="A26" s="50"/>
    </x:row>
    <x:row r="27">
      <x:c r="A27" s="50"/>
    </x:row>
    <x:row r="28">
      <x:c r="A28" s="50"/>
    </x:row>
    <x:row r="29">
      <x:c r="A29" s="50"/>
    </x:row>
    <x:row r="30">
      <x:c r="A30" s="50"/>
    </x:row>
    <x:row r="31">
      <x:c r="A31" s="50"/>
    </x:row>
    <x:row r="32">
      <x:c r="A32" s="50"/>
    </x:row>
    <x:row r="33">
      <x:c r="A33" s="50"/>
    </x:row>
    <x:row r="34">
      <x:c r="A34" s="50"/>
    </x:row>
    <x:row r="35">
      <x:c r="A35" s="50"/>
    </x:row>
    <x:row r="36">
      <x:c r="A36" s="50"/>
    </x:row>
    <x:row r="37">
      <x:c r="A37" s="50"/>
    </x:row>
    <x:row r="38">
      <x:c r="A38" s="50"/>
    </x:row>
    <x:row r="39">
      <x:c r="A39" s="50"/>
    </x:row>
    <x:row r="40">
      <x:c r="A40" s="50"/>
    </x:row>
    <x:row r="41">
      <x:c r="A41" s="50"/>
    </x:row>
    <x:row r="42">
      <x:c r="A42" s="50"/>
    </x:row>
    <x:row r="43">
      <x:c r="A43" s="50"/>
    </x:row>
    <x:row r="44">
      <x:c r="A44" s="50"/>
    </x:row>
    <x:row r="45">
      <x:c r="A45" s="50"/>
    </x:row>
    <x:row r="46">
      <x:c r="A46" s="50"/>
    </x:row>
    <x:row r="47">
      <x:c r="A47" s="50"/>
    </x:row>
    <x:row r="48">
      <x:c r="A48" s="50"/>
    </x:row>
    <x:row r="49">
      <x:c r="A49" s="50"/>
    </x:row>
    <x:row r="50">
      <x:c r="A50" s="50"/>
    </x:row>
    <x:row r="51">
      <x:c r="A51" s="50"/>
    </x:row>
    <x:row r="52">
      <x:c r="A52" s="50"/>
    </x:row>
    <x:row r="53">
      <x:c r="A53" s="50"/>
    </x:row>
    <x:row r="54">
      <x:c r="A54" s="50"/>
    </x:row>
    <x:row r="55">
      <x:c r="A55" s="50"/>
    </x:row>
    <x:row r="56">
      <x:c r="A56" s="50"/>
    </x:row>
    <x:row r="57">
      <x:c r="A57" s="50"/>
    </x:row>
    <x:row r="58">
      <x:c r="A58" s="50"/>
    </x:row>
    <x:row r="59">
      <x:c r="A59" s="50"/>
    </x:row>
    <x:row r="60">
      <x:c r="A60" s="50"/>
    </x:row>
    <x:row r="61">
      <x:c r="A61" s="50"/>
    </x:row>
    <x:row r="62">
      <x:c r="A62" s="50"/>
    </x:row>
    <x:row r="63">
      <x:c r="A63" s="50"/>
    </x:row>
    <x:row r="64">
      <x:c r="A64" s="50"/>
    </x:row>
    <x:row r="65">
      <x:c r="A65" s="50"/>
    </x:row>
    <x:row r="66">
      <x:c r="A66" s="50"/>
    </x:row>
    <x:row r="67">
      <x:c r="A67" s="50"/>
    </x:row>
    <x:row r="68">
      <x:c r="A68" s="50"/>
    </x:row>
    <x:row r="69">
      <x:c r="A69" s="50"/>
    </x:row>
    <x:row r="70">
      <x:c r="A70" s="50"/>
    </x:row>
    <x:row r="71">
      <x:c r="A71" s="50"/>
    </x:row>
    <x:row r="72">
      <x:c r="A72" s="50"/>
    </x:row>
    <x:row r="73">
      <x:c r="A73" s="50"/>
    </x:row>
    <x:row r="74">
      <x:c r="A74" s="50"/>
    </x:row>
    <x:row r="75">
      <x:c r="A75" s="50"/>
    </x:row>
    <x:row r="76">
      <x:c r="A76" s="50"/>
    </x:row>
    <x:row r="77">
      <x:c r="A77" s="50"/>
    </x:row>
    <x:row r="78">
      <x:c r="A78" s="50"/>
    </x:row>
    <x:row r="79">
      <x:c r="A79" s="50"/>
    </x:row>
    <x:row r="80">
      <x:c r="A80" s="50"/>
    </x:row>
    <x:row r="81">
      <x:c r="A81" s="50"/>
    </x:row>
    <x:row r="82">
      <x:c r="A82" s="50"/>
    </x:row>
    <x:row r="83">
      <x:c r="A83" s="50"/>
    </x:row>
    <x:row r="84">
      <x:c r="A84" s="50"/>
    </x:row>
    <x:row r="85">
      <x:c r="A85" s="50"/>
    </x:row>
    <x:row r="86">
      <x:c r="A86" s="50"/>
    </x:row>
    <x:row r="87">
      <x:c r="A87" s="50"/>
    </x:row>
    <x:row r="88">
      <x:c r="A88" s="50"/>
    </x:row>
    <x:row r="89">
      <x:c r="A89" s="50"/>
    </x:row>
    <x:row r="90">
      <x:c r="A90" s="50"/>
    </x:row>
    <x:row r="91">
      <x:c r="A91" s="50"/>
    </x:row>
    <x:row r="92">
      <x:c r="A92" s="50"/>
    </x:row>
    <x:row r="93">
      <x:c r="A93" s="50"/>
    </x:row>
    <x:row r="94">
      <x:c r="A94" s="50"/>
    </x:row>
    <x:row r="95">
      <x:c r="A95" s="50"/>
    </x:row>
    <x:row r="96">
      <x:c r="A96" s="50"/>
    </x:row>
    <x:row r="97">
      <x:c r="A97" s="50"/>
    </x:row>
    <x:row r="98">
      <x:c r="A98" s="50"/>
    </x:row>
    <x:row r="99">
      <x:c r="A99" s="50"/>
    </x:row>
    <x:row r="100">
      <x:c r="A100" s="50"/>
    </x:row>
    <x:row r="101">
      <x:c r="A101" s="50"/>
    </x:row>
    <x:row r="102">
      <x:c r="A102" s="50"/>
    </x:row>
    <x:row r="103">
      <x:c r="A103" s="50"/>
    </x:row>
    <x:row r="104">
      <x:c r="A104" s="50"/>
    </x:row>
    <x:row r="105">
      <x:c r="A105" s="50"/>
    </x:row>
    <x:row r="106">
      <x:c r="A106" s="50"/>
    </x:row>
    <x:row r="107">
      <x:c r="A107" s="50"/>
    </x:row>
    <x:row r="108">
      <x:c r="A108" s="50"/>
    </x:row>
    <x:row r="109">
      <x:c r="A109" s="50"/>
    </x:row>
    <x:row r="110">
      <x:c r="A110" s="50"/>
    </x:row>
    <x:row r="111">
      <x:c r="A111" s="50"/>
    </x:row>
    <x:row r="112">
      <x:c r="A112" s="50"/>
    </x:row>
    <x:row r="113">
      <x:c r="A113" s="50"/>
    </x:row>
    <x:row r="114">
      <x:c r="A114" s="50"/>
    </x:row>
    <x:row r="115">
      <x:c r="A115" s="50"/>
    </x:row>
    <x:row r="116">
      <x:c r="A116" s="50"/>
    </x:row>
    <x:row r="117">
      <x:c r="A117" s="50"/>
    </x:row>
    <x:row r="118">
      <x:c r="A118" s="50"/>
    </x:row>
    <x:row r="119">
      <x:c r="A119" s="50"/>
    </x:row>
    <x:row r="120">
      <x:c r="A120" s="50"/>
    </x:row>
    <x:row r="121">
      <x:c r="A121" s="50"/>
    </x:row>
    <x:row r="122">
      <x:c r="A122" s="50"/>
    </x:row>
    <x:row r="123">
      <x:c r="A123" s="50"/>
    </x:row>
    <x:row r="124">
      <x:c r="A124" s="50"/>
    </x:row>
    <x:row r="125">
      <x:c r="A125" s="50"/>
    </x:row>
    <x:row r="126">
      <x:c r="A126" s="50"/>
    </x:row>
    <x:row r="127">
      <x:c r="A127" s="50"/>
    </x:row>
    <x:row r="128">
      <x:c r="A128" s="50"/>
    </x:row>
    <x:row r="129">
      <x:c r="A129" s="50"/>
    </x:row>
    <x:row r="130">
      <x:c r="A130" s="50"/>
    </x:row>
    <x:row r="131">
      <x:c r="A131" s="50"/>
    </x:row>
    <x:row r="132">
      <x:c r="A132" s="50"/>
    </x:row>
    <x:row r="133">
      <x:c r="A133" s="50"/>
    </x:row>
    <x:row r="134">
      <x:c r="A134" s="50"/>
    </x:row>
    <x:row r="135">
      <x:c r="A135" s="50"/>
    </x:row>
    <x:row r="136">
      <x:c r="A136" s="50"/>
    </x:row>
    <x:row r="137">
      <x:c r="A137" s="50"/>
    </x:row>
    <x:row r="138">
      <x:c r="A138" s="50"/>
    </x:row>
    <x:row r="139">
      <x:c r="A139" s="50"/>
    </x:row>
    <x:row r="140">
      <x:c r="A140" s="50"/>
    </x:row>
    <x:row r="141">
      <x:c r="A141" s="50"/>
    </x:row>
    <x:row r="142">
      <x:c r="A142" s="50"/>
    </x:row>
    <x:row r="143">
      <x:c r="A143" s="50"/>
    </x:row>
    <x:row r="144">
      <x:c r="A144" s="50"/>
    </x:row>
    <x:row r="145">
      <x:c r="A145" s="50"/>
    </x:row>
    <x:row r="146">
      <x:c r="A146" s="50"/>
    </x:row>
    <x:row r="147">
      <x:c r="A147" s="50"/>
    </x:row>
    <x:row r="148">
      <x:c r="A148" s="50"/>
    </x:row>
    <x:row r="149">
      <x:c r="A149" s="50"/>
    </x:row>
    <x:row r="150">
      <x:c r="A150" s="50"/>
    </x:row>
    <x:row r="151">
      <x:c r="A151" s="50"/>
    </x:row>
    <x:row r="152">
      <x:c r="A152" s="50"/>
    </x:row>
    <x:row r="153">
      <x:c r="A153" s="50"/>
    </x:row>
    <x:row r="154">
      <x:c r="A154" s="50"/>
    </x:row>
    <x:row r="155">
      <x:c r="A155" s="50"/>
    </x:row>
    <x:row r="156">
      <x:c r="A156" s="50"/>
    </x:row>
    <x:row r="157">
      <x:c r="A157" s="50"/>
    </x:row>
    <x:row r="158">
      <x:c r="A158" s="50"/>
    </x:row>
    <x:row r="159">
      <x:c r="A159" s="50"/>
    </x:row>
    <x:row r="160">
      <x:c r="A160" s="50"/>
    </x:row>
    <x:row r="161">
      <x:c r="A161" s="50"/>
    </x:row>
    <x:row r="162">
      <x:c r="A162" s="50"/>
    </x:row>
    <x:row r="163">
      <x:c r="A163" s="50"/>
    </x:row>
    <x:row r="164">
      <x:c r="A164" s="50"/>
    </x:row>
    <x:row r="165">
      <x:c r="A165" s="50"/>
    </x:row>
    <x:row r="166">
      <x:c r="A166" s="50"/>
    </x:row>
    <x:row r="167">
      <x:c r="A167" s="50"/>
    </x:row>
    <x:row r="168">
      <x:c r="A168" s="50"/>
    </x:row>
    <x:row r="169">
      <x:c r="A169" s="50"/>
    </x:row>
    <x:row r="170">
      <x:c r="A170" s="50"/>
    </x:row>
    <x:row r="171">
      <x:c r="A171" s="50"/>
    </x:row>
    <x:row r="172">
      <x:c r="A172" s="50"/>
    </x:row>
    <x:row r="173">
      <x:c r="A173" s="50"/>
    </x:row>
    <x:row r="174">
      <x:c r="A174" s="50"/>
    </x:row>
    <x:row r="175">
      <x:c r="A175" s="50"/>
    </x:row>
    <x:row r="176">
      <x:c r="A176" s="50"/>
    </x:row>
    <x:row r="177">
      <x:c r="A177" s="50"/>
    </x:row>
    <x:row r="178">
      <x:c r="A178" s="50"/>
    </x:row>
    <x:row r="179">
      <x:c r="A179" s="50"/>
    </x:row>
    <x:row r="180">
      <x:c r="A180" s="50"/>
    </x:row>
    <x:row r="181">
      <x:c r="A181" s="50"/>
    </x:row>
    <x:row r="182">
      <x:c r="A182" s="50"/>
    </x:row>
    <x:row r="183">
      <x:c r="A183" s="50"/>
    </x:row>
    <x:row r="184">
      <x:c r="A184" s="50"/>
    </x:row>
    <x:row r="185">
      <x:c r="A185" s="50"/>
    </x:row>
    <x:row r="186">
      <x:c r="A186" s="50"/>
    </x:row>
    <x:row r="187">
      <x:c r="A187" s="50"/>
    </x:row>
    <x:row r="188">
      <x:c r="A188" s="50"/>
    </x:row>
    <x:row r="189">
      <x:c r="A189" s="50"/>
    </x:row>
    <x:row r="190">
      <x:c r="A190" s="50"/>
    </x:row>
    <x:row r="191">
      <x:c r="A191" s="50"/>
    </x:row>
    <x:row r="192">
      <x:c r="A192" s="50"/>
    </x:row>
    <x:row r="193">
      <x:c r="A193" s="50"/>
    </x:row>
    <x:row r="194">
      <x:c r="A194" s="50"/>
    </x:row>
    <x:row r="195">
      <x:c r="A195" s="50"/>
    </x:row>
    <x:row r="196">
      <x:c r="A196" s="50"/>
    </x:row>
    <x:row r="197">
      <x:c r="A197" s="50"/>
    </x:row>
    <x:row r="198">
      <x:c r="A198" s="50"/>
    </x:row>
    <x:row r="199">
      <x:c r="A199" s="50"/>
    </x:row>
    <x:row r="200">
      <x:c r="A200" s="50"/>
    </x:row>
    <x:row r="201">
      <x:c r="A201" s="50"/>
    </x:row>
    <x:row r="202">
      <x:c r="A202" s="50"/>
    </x:row>
    <x:row r="203">
      <x:c r="A203" s="50"/>
    </x:row>
    <x:row r="204">
      <x:c r="A204" s="50"/>
    </x:row>
    <x:row r="205">
      <x:c r="A205" s="50"/>
    </x:row>
    <x:row r="206">
      <x:c r="A206" s="50"/>
    </x:row>
    <x:row r="207">
      <x:c r="A207" s="50"/>
    </x:row>
    <x:row r="208">
      <x:c r="A208" s="50"/>
    </x:row>
    <x:row r="209">
      <x:c r="A209" s="50"/>
    </x:row>
    <x:row r="210">
      <x:c r="A210" s="50"/>
    </x:row>
    <x:row r="211">
      <x:c r="A211" s="50"/>
    </x:row>
    <x:row r="212">
      <x:c r="A212" s="50"/>
    </x:row>
    <x:row r="213">
      <x:c r="A213" s="50"/>
    </x:row>
    <x:row r="214">
      <x:c r="A214" s="50"/>
    </x:row>
    <x:row r="215">
      <x:c r="A215" s="50"/>
    </x:row>
    <x:row r="216">
      <x:c r="A216" s="50"/>
    </x:row>
    <x:row r="217">
      <x:c r="A217" s="50"/>
    </x:row>
    <x:row r="218">
      <x:c r="A218" s="50"/>
    </x:row>
    <x:row r="219">
      <x:c r="A219" s="50"/>
    </x:row>
    <x:row r="220">
      <x:c r="A220" s="50"/>
    </x:row>
    <x:row r="221">
      <x:c r="A221" s="50"/>
    </x:row>
    <x:row r="222">
      <x:c r="A222" s="50"/>
    </x:row>
    <x:row r="223">
      <x:c r="A223" s="50"/>
    </x:row>
    <x:row r="224">
      <x:c r="A224" s="50"/>
    </x:row>
    <x:row r="225">
      <x:c r="A225" s="50"/>
    </x:row>
    <x:row r="226">
      <x:c r="A226" s="50"/>
    </x:row>
    <x:row r="227">
      <x:c r="A227" s="50"/>
    </x:row>
    <x:row r="228">
      <x:c r="A228" s="50"/>
    </x:row>
    <x:row r="229">
      <x:c r="A229" s="50"/>
    </x:row>
    <x:row r="230">
      <x:c r="A230" s="50"/>
    </x:row>
    <x:row r="231">
      <x:c r="A231" s="50"/>
    </x:row>
    <x:row r="232">
      <x:c r="A232" s="50"/>
    </x:row>
    <x:row r="233">
      <x:c r="A233" s="50"/>
    </x:row>
    <x:row r="234">
      <x:c r="A234" s="50"/>
    </x:row>
    <x:row r="235">
      <x:c r="A235" s="50"/>
    </x:row>
    <x:row r="236">
      <x:c r="A236" s="50"/>
    </x:row>
    <x:row r="237">
      <x:c r="A237" s="50"/>
    </x:row>
    <x:row r="238">
      <x:c r="A238" s="50"/>
    </x:row>
    <x:row r="239">
      <x:c r="A239" s="50"/>
    </x:row>
    <x:row r="240">
      <x:c r="A240" s="50"/>
    </x:row>
    <x:row r="241">
      <x:c r="A241" s="50"/>
    </x:row>
    <x:row r="242">
      <x:c r="A242" s="50"/>
    </x:row>
    <x:row r="243">
      <x:c r="A243" s="50"/>
    </x:row>
    <x:row r="244">
      <x:c r="A244" s="50"/>
    </x:row>
    <x:row r="245">
      <x:c r="A245" s="50"/>
    </x:row>
    <x:row r="246">
      <x:c r="A246" s="50"/>
    </x:row>
    <x:row r="247">
      <x:c r="A247" s="50"/>
    </x:row>
    <x:row r="248">
      <x:c r="A248" s="50"/>
    </x:row>
    <x:row r="249">
      <x:c r="A249" s="50"/>
    </x:row>
    <x:row r="250">
      <x:c r="A250" s="50"/>
    </x:row>
    <x:row r="251">
      <x:c r="A251" s="50"/>
    </x:row>
    <x:row r="252">
      <x:c r="A252" s="50"/>
    </x:row>
    <x:row r="253">
      <x:c r="A253" s="50"/>
    </x:row>
    <x:row r="254">
      <x:c r="A254" s="50"/>
    </x:row>
    <x:row r="255">
      <x:c r="A255" s="50"/>
    </x:row>
    <x:row r="256">
      <x:c r="A256" s="50"/>
    </x:row>
    <x:row r="257">
      <x:c r="A257" s="50"/>
    </x:row>
    <x:row r="258">
      <x:c r="A258" s="50"/>
    </x:row>
    <x:row r="259">
      <x:c r="A259" s="50"/>
    </x:row>
    <x:row r="260">
      <x:c r="A260" s="50"/>
    </x:row>
    <x:row r="261">
      <x:c r="A261" s="50"/>
    </x:row>
    <x:row r="262">
      <x:c r="A262" s="50"/>
    </x:row>
    <x:row r="263">
      <x:c r="A263" s="50"/>
    </x:row>
    <x:row r="264">
      <x:c r="A264" s="50"/>
    </x:row>
    <x:row r="265">
      <x:c r="A265" s="50"/>
    </x:row>
    <x:row r="266">
      <x:c r="A266" s="50"/>
    </x:row>
    <x:row r="267">
      <x:c r="A267" s="50"/>
    </x:row>
    <x:row r="268">
      <x:c r="A268" s="50"/>
    </x:row>
    <x:row r="269">
      <x:c r="A269" s="50"/>
    </x:row>
    <x:row r="270">
      <x:c r="A270" s="50"/>
    </x:row>
    <x:row r="271">
      <x:c r="A271" s="50"/>
    </x:row>
    <x:row r="272">
      <x:c r="A272" s="50"/>
    </x:row>
    <x:row r="273">
      <x:c r="A273" s="50"/>
    </x:row>
    <x:row r="274">
      <x:c r="A274" s="50"/>
    </x:row>
    <x:row r="275">
      <x:c r="A275" s="50"/>
    </x:row>
    <x:row r="276">
      <x:c r="A276" s="50"/>
    </x:row>
    <x:row r="277">
      <x:c r="A277" s="50"/>
    </x:row>
    <x:row r="278">
      <x:c r="A278" s="50"/>
    </x:row>
    <x:row r="279">
      <x:c r="A279" s="50"/>
    </x:row>
    <x:row r="280">
      <x:c r="A280" s="50"/>
    </x:row>
    <x:row r="281">
      <x:c r="A281" s="50"/>
    </x:row>
    <x:row r="282">
      <x:c r="A282" s="50"/>
    </x:row>
    <x:row r="283">
      <x:c r="A283" s="50"/>
    </x:row>
    <x:row r="284">
      <x:c r="A284" s="50"/>
    </x:row>
    <x:row r="285">
      <x:c r="A285" s="50"/>
    </x:row>
    <x:row r="286">
      <x:c r="A286" s="50"/>
    </x:row>
    <x:row r="287">
      <x:c r="A287" s="50"/>
    </x:row>
    <x:row r="288">
      <x:c r="A288" s="50"/>
    </x:row>
    <x:row r="289">
      <x:c r="A289" s="50"/>
    </x:row>
    <x:row r="290">
      <x:c r="A290" s="50"/>
    </x:row>
    <x:row r="291">
      <x:c r="A291" s="50"/>
    </x:row>
    <x:row r="292">
      <x:c r="A292" s="50"/>
    </x:row>
    <x:row r="293">
      <x:c r="A293" s="50"/>
    </x:row>
    <x:row r="294">
      <x:c r="A294" s="50"/>
    </x:row>
    <x:row r="295">
      <x:c r="A295" s="50"/>
    </x:row>
    <x:row r="296">
      <x:c r="A296" s="50"/>
    </x:row>
    <x:row r="297">
      <x:c r="A297" s="50"/>
    </x:row>
    <x:row r="298">
      <x:c r="A298" s="50"/>
    </x:row>
    <x:row r="299">
      <x:c r="A299" s="50"/>
    </x:row>
    <x:row r="300">
      <x:c r="A300" s="50"/>
    </x:row>
    <x:row r="301">
      <x:c r="A301" s="50"/>
    </x:row>
    <x:row r="302">
      <x:c r="A302" s="50"/>
    </x:row>
    <x:row r="303">
      <x:c r="A303" s="50"/>
    </x:row>
    <x:row r="304">
      <x:c r="A304" s="50"/>
    </x:row>
    <x:row r="305">
      <x:c r="A305" s="50"/>
    </x:row>
    <x:row r="306">
      <x:c r="A306" s="50"/>
    </x:row>
    <x:row r="307">
      <x:c r="A307" s="50"/>
    </x:row>
    <x:row r="308">
      <x:c r="A308" s="50"/>
    </x:row>
    <x:row r="309">
      <x:c r="A309" s="50"/>
    </x:row>
    <x:row r="310">
      <x:c r="A310" s="50"/>
    </x:row>
    <x:row r="311">
      <x:c r="A311" s="50"/>
    </x:row>
    <x:row r="312">
      <x:c r="A312" s="50"/>
    </x:row>
    <x:row r="313">
      <x:c r="A313" s="50"/>
    </x:row>
    <x:row r="314">
      <x:c r="A314" s="50"/>
    </x:row>
    <x:row r="315">
      <x:c r="A315" s="50"/>
    </x:row>
    <x:row r="316">
      <x:c r="A316" s="50"/>
    </x:row>
    <x:row r="317">
      <x:c r="A317" s="50"/>
    </x:row>
    <x:row r="318">
      <x:c r="A318" s="50"/>
    </x:row>
    <x:row r="319">
      <x:c r="A319" s="50"/>
    </x:row>
    <x:row r="320">
      <x:c r="A320" s="50"/>
    </x:row>
    <x:row r="321">
      <x:c r="A321" s="50"/>
    </x:row>
    <x:row r="322">
      <x:c r="A322" s="50"/>
    </x:row>
    <x:row r="323">
      <x:c r="A323" s="50"/>
    </x:row>
    <x:row r="324">
      <x:c r="A324" s="50"/>
    </x:row>
    <x:row r="325">
      <x:c r="A325" s="50"/>
    </x:row>
    <x:row r="326">
      <x:c r="A326" s="50"/>
    </x:row>
    <x:row r="327">
      <x:c r="A327" s="50"/>
    </x:row>
    <x:row r="328">
      <x:c r="A328" s="50"/>
    </x:row>
    <x:row r="329">
      <x:c r="A329" s="50"/>
    </x:row>
    <x:row r="330">
      <x:c r="A330" s="50"/>
    </x:row>
    <x:row r="331">
      <x:c r="A331" s="50"/>
    </x:row>
    <x:row r="332">
      <x:c r="A332" s="50"/>
    </x:row>
    <x:row r="333">
      <x:c r="A333" s="50"/>
    </x:row>
    <x:row r="334">
      <x:c r="A334" s="50"/>
    </x:row>
    <x:row r="335">
      <x:c r="A335" s="50"/>
    </x:row>
    <x:row r="336">
      <x:c r="A336" s="50"/>
    </x:row>
    <x:row r="337">
      <x:c r="A337" s="50"/>
    </x:row>
    <x:row r="338">
      <x:c r="A338" s="50"/>
    </x:row>
    <x:row r="339">
      <x:c r="A339" s="50"/>
    </x:row>
    <x:row r="340">
      <x:c r="A340" s="50"/>
    </x:row>
    <x:row r="341">
      <x:c r="A341" s="50"/>
    </x:row>
    <x:row r="342">
      <x:c r="A342" s="50"/>
    </x:row>
    <x:row r="343">
      <x:c r="A343" s="50"/>
    </x:row>
    <x:row r="344">
      <x:c r="A344" s="50"/>
    </x:row>
    <x:row r="345">
      <x:c r="A345" s="50"/>
    </x:row>
    <x:row r="346">
      <x:c r="A346" s="50"/>
    </x:row>
    <x:row r="347">
      <x:c r="A347" s="50"/>
    </x:row>
    <x:row r="348">
      <x:c r="A348" s="50"/>
    </x:row>
    <x:row r="349">
      <x:c r="A349" s="50"/>
    </x:row>
    <x:row r="350">
      <x:c r="A350" s="50"/>
    </x:row>
    <x:row r="351">
      <x:c r="A351" s="50"/>
    </x:row>
    <x:row r="352">
      <x:c r="A352" s="50"/>
    </x:row>
    <x:row r="353">
      <x:c r="A353" s="50"/>
    </x:row>
    <x:row r="354">
      <x:c r="A354" s="50"/>
    </x:row>
    <x:row r="355">
      <x:c r="A355" s="50"/>
    </x:row>
    <x:row r="356">
      <x:c r="A356" s="50"/>
    </x:row>
    <x:row r="357">
      <x:c r="A357" s="50"/>
    </x:row>
    <x:row r="358">
      <x:c r="A358" s="50"/>
    </x:row>
    <x:row r="359">
      <x:c r="A359" s="50"/>
    </x:row>
    <x:row r="360">
      <x:c r="A360" s="50"/>
    </x:row>
    <x:row r="361">
      <x:c r="A361" s="50"/>
    </x:row>
    <x:row r="362">
      <x:c r="A362" s="50"/>
    </x:row>
    <x:row r="363">
      <x:c r="A363" s="50"/>
    </x:row>
    <x:row r="364">
      <x:c r="A364" s="50"/>
    </x:row>
    <x:row r="365">
      <x:c r="A365" s="50"/>
    </x:row>
    <x:row r="366">
      <x:c r="A366" s="50"/>
    </x:row>
    <x:row r="367">
      <x:c r="A367" s="50"/>
    </x:row>
    <x:row r="368">
      <x:c r="A368" s="50"/>
    </x:row>
    <x:row r="369">
      <x:c r="A369" s="50"/>
    </x:row>
    <x:row r="370">
      <x:c r="A370" s="50"/>
    </x:row>
    <x:row r="371">
      <x:c r="A371" s="50"/>
    </x:row>
    <x:row r="372">
      <x:c r="A372" s="50"/>
    </x:row>
    <x:row r="373">
      <x:c r="A373" s="50"/>
    </x:row>
    <x:row r="374">
      <x:c r="A374" s="50"/>
    </x:row>
    <x:row r="375">
      <x:c r="A375" s="50"/>
    </x:row>
    <x:row r="376">
      <x:c r="A376" s="50"/>
    </x:row>
    <x:row r="377">
      <x:c r="A377" s="50"/>
    </x:row>
    <x:row r="378">
      <x:c r="A378" s="50"/>
    </x:row>
    <x:row r="379">
      <x:c r="A379" s="50"/>
    </x:row>
    <x:row r="380">
      <x:c r="A380" s="50"/>
    </x:row>
    <x:row r="381">
      <x:c r="A381" s="50"/>
    </x:row>
    <x:row r="382">
      <x:c r="A382" s="50"/>
    </x:row>
    <x:row r="383">
      <x:c r="A383" s="50"/>
    </x:row>
    <x:row r="384">
      <x:c r="A384" s="50"/>
    </x:row>
    <x:row r="385">
      <x:c r="A385" s="50"/>
    </x:row>
    <x:row r="386">
      <x:c r="A386" s="50"/>
    </x:row>
    <x:row r="387">
      <x:c r="A387" s="50"/>
    </x:row>
    <x:row r="388">
      <x:c r="A388" s="50"/>
    </x:row>
    <x:row r="389">
      <x:c r="A389" s="50"/>
    </x:row>
    <x:row r="390">
      <x:c r="A390" s="50"/>
    </x:row>
    <x:row r="391">
      <x:c r="A391" s="50"/>
    </x:row>
    <x:row r="392">
      <x:c r="A392" s="50"/>
    </x:row>
    <x:row r="393">
      <x:c r="A393" s="50"/>
    </x:row>
    <x:row r="394">
      <x:c r="A394" s="50"/>
    </x:row>
    <x:row r="395">
      <x:c r="A395" s="50"/>
    </x:row>
    <x:row r="396">
      <x:c r="A396" s="50"/>
    </x:row>
    <x:row r="397">
      <x:c r="A397" s="50"/>
    </x:row>
    <x:row r="398">
      <x:c r="A398" s="50"/>
    </x:row>
    <x:row r="399">
      <x:c r="A399" s="50"/>
    </x:row>
    <x:row r="400">
      <x:c r="A400" s="50"/>
    </x:row>
    <x:row r="401">
      <x:c r="A401" s="50"/>
    </x:row>
    <x:row r="402">
      <x:c r="A402" s="50"/>
    </x:row>
    <x:row r="403">
      <x:c r="A403" s="50"/>
    </x:row>
    <x:row r="404">
      <x:c r="A404" s="50"/>
    </x:row>
    <x:row r="405">
      <x:c r="A405" s="50"/>
    </x:row>
    <x:row r="406">
      <x:c r="A406" s="50"/>
    </x:row>
    <x:row r="407">
      <x:c r="A407" s="50"/>
    </x:row>
    <x:row r="408">
      <x:c r="A408" s="50"/>
    </x:row>
    <x:row r="409">
      <x:c r="A409" s="50"/>
    </x:row>
    <x:row r="410">
      <x:c r="A410" s="50"/>
    </x:row>
    <x:row r="411">
      <x:c r="A411" s="50"/>
    </x:row>
    <x:row r="412">
      <x:c r="A412" s="50"/>
    </x:row>
    <x:row r="413">
      <x:c r="A413" s="50"/>
    </x:row>
    <x:row r="414">
      <x:c r="A414" s="50"/>
    </x:row>
    <x:row r="415">
      <x:c r="A415" s="50"/>
    </x:row>
    <x:row r="416">
      <x:c r="A416" s="50"/>
    </x:row>
    <x:row r="417">
      <x:c r="A417" s="50"/>
    </x:row>
    <x:row r="418">
      <x:c r="A418" s="50"/>
    </x:row>
    <x:row r="419">
      <x:c r="A419" s="50"/>
    </x:row>
    <x:row r="420">
      <x:c r="A420" s="50"/>
    </x:row>
    <x:row r="421">
      <x:c r="A421" s="50"/>
    </x:row>
    <x:row r="422">
      <x:c r="A422" s="50"/>
    </x:row>
    <x:row r="423">
      <x:c r="A423" s="50"/>
    </x:row>
    <x:row r="424">
      <x:c r="A424" s="50"/>
    </x:row>
    <x:row r="425">
      <x:c r="A425" s="50"/>
    </x:row>
    <x:row r="426">
      <x:c r="A426" s="50"/>
    </x:row>
    <x:row r="427">
      <x:c r="A427" s="50"/>
    </x:row>
    <x:row r="428">
      <x:c r="A428" s="50"/>
    </x:row>
    <x:row r="429">
      <x:c r="A429" s="50"/>
    </x:row>
    <x:row r="430">
      <x:c r="A430" s="50"/>
    </x:row>
    <x:row r="431">
      <x:c r="A431" s="50"/>
    </x:row>
    <x:row r="432">
      <x:c r="A432" s="50"/>
    </x:row>
    <x:row r="433">
      <x:c r="A433" s="50"/>
    </x:row>
    <x:row r="434">
      <x:c r="A434" s="50"/>
    </x:row>
    <x:row r="435">
      <x:c r="A435" s="50"/>
    </x:row>
    <x:row r="436">
      <x:c r="A436" s="50"/>
    </x:row>
    <x:row r="437">
      <x:c r="A437" s="50"/>
    </x:row>
    <x:row r="438">
      <x:c r="A438" s="50"/>
    </x:row>
    <x:row r="439">
      <x:c r="A439" s="50"/>
    </x:row>
    <x:row r="440">
      <x:c r="A440" s="50"/>
    </x:row>
    <x:row r="441">
      <x:c r="A441" s="50"/>
    </x:row>
    <x:row r="442">
      <x:c r="A442" s="50"/>
    </x:row>
    <x:row r="443">
      <x:c r="A443" s="50"/>
    </x:row>
    <x:row r="444">
      <x:c r="A444" s="50"/>
    </x:row>
    <x:row r="445">
      <x:c r="A445" s="50"/>
    </x:row>
    <x:row r="446">
      <x:c r="A446" s="50"/>
    </x:row>
    <x:row r="447">
      <x:c r="A447" s="50"/>
    </x:row>
    <x:row r="448">
      <x:c r="A448" s="50"/>
    </x:row>
    <x:row r="449">
      <x:c r="A449" s="50"/>
    </x:row>
    <x:row r="450">
      <x:c r="A450" s="50"/>
    </x:row>
    <x:row r="451">
      <x:c r="A451" s="50"/>
    </x:row>
    <x:row r="452">
      <x:c r="A452" s="50"/>
    </x:row>
    <x:row r="453">
      <x:c r="A453" s="50"/>
    </x:row>
    <x:row r="454">
      <x:c r="A454" s="50"/>
    </x:row>
    <x:row r="455">
      <x:c r="A455" s="50"/>
    </x:row>
    <x:row r="456">
      <x:c r="A456" s="50"/>
    </x:row>
    <x:row r="457">
      <x:c r="A457" s="50"/>
    </x:row>
    <x:row r="458">
      <x:c r="A458" s="50"/>
    </x:row>
    <x:row r="459">
      <x:c r="A459" s="50"/>
    </x:row>
    <x:row r="460">
      <x:c r="A460" s="50"/>
    </x:row>
    <x:row r="461">
      <x:c r="A461" s="50"/>
    </x:row>
    <x:row r="462">
      <x:c r="A462" s="50"/>
    </x:row>
    <x:row r="463">
      <x:c r="A463" s="50"/>
    </x:row>
    <x:row r="464">
      <x:c r="A464" s="50"/>
    </x:row>
    <x:row r="465">
      <x:c r="A465" s="50"/>
    </x:row>
    <x:row r="466">
      <x:c r="A466" s="50"/>
    </x:row>
    <x:row r="467">
      <x:c r="A467" s="50"/>
    </x:row>
    <x:row r="468">
      <x:c r="A468" s="50"/>
    </x:row>
    <x:row r="469">
      <x:c r="A469" s="50"/>
    </x:row>
    <x:row r="470">
      <x:c r="A470" s="50"/>
    </x:row>
    <x:row r="471">
      <x:c r="A471" s="50"/>
    </x:row>
    <x:row r="472">
      <x:c r="A472" s="50"/>
    </x:row>
    <x:row r="473">
      <x:c r="A473" s="50"/>
    </x:row>
    <x:row r="474">
      <x:c r="A474" s="50"/>
    </x:row>
    <x:row r="475">
      <x:c r="A475" s="50"/>
    </x:row>
    <x:row r="476">
      <x:c r="A476" s="50"/>
    </x:row>
    <x:row r="477">
      <x:c r="A477" s="50"/>
    </x:row>
    <x:row r="478">
      <x:c r="A478" s="50"/>
    </x:row>
    <x:row r="479">
      <x:c r="A479" s="50"/>
    </x:row>
    <x:row r="480">
      <x:c r="A480" s="50"/>
    </x:row>
    <x:row r="481">
      <x:c r="A481" s="50"/>
    </x:row>
    <x:row r="482">
      <x:c r="A482" s="50"/>
    </x:row>
    <x:row r="483">
      <x:c r="A483" s="50"/>
    </x:row>
    <x:row r="484">
      <x:c r="A484" s="50"/>
    </x:row>
    <x:row r="485">
      <x:c r="A485" s="50"/>
    </x:row>
    <x:row r="486">
      <x:c r="A486" s="50"/>
    </x:row>
    <x:row r="487">
      <x:c r="A487" s="50"/>
    </x:row>
    <x:row r="488">
      <x:c r="A488" s="50"/>
    </x:row>
    <x:row r="489">
      <x:c r="A489" s="50"/>
    </x:row>
    <x:row r="490">
      <x:c r="A490" s="50"/>
    </x:row>
    <x:row r="491">
      <x:c r="A491" s="50"/>
    </x:row>
    <x:row r="492">
      <x:c r="A492" s="50"/>
    </x:row>
    <x:row r="493">
      <x:c r="A493" s="50"/>
    </x:row>
    <x:row r="494">
      <x:c r="A494" s="50"/>
    </x:row>
    <x:row r="495">
      <x:c r="A495" s="50"/>
    </x:row>
    <x:row r="496">
      <x:c r="A496" s="50"/>
    </x:row>
    <x:row r="497">
      <x:c r="A497" s="50"/>
    </x:row>
    <x:row r="498">
      <x:c r="A498" s="50"/>
    </x:row>
    <x:row r="499">
      <x:c r="A499" s="50"/>
    </x:row>
    <x:row r="500">
      <x:c r="A500" s="50"/>
    </x:row>
    <x:row r="501">
      <x:c r="A501" s="50"/>
    </x:row>
  </x:sheetData>
  <x:dataValidations count="2">
    <x:dataValidation type="list" sqref="D2:D501">
      <x:formula1>설정!$B$2:$B$4</x:formula1>
    </x:dataValidation>
    <x:dataValidation type="decimal" sqref="E2:E5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6433afed8a42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8" hidden="0" customWidth="1"/>
    <x:col min="5" max="5" width="9" hidden="0" customWidth="1"/>
    <x:col min="6" max="6" width="11" hidden="0" customWidth="1"/>
    <x:col min="7" max="7" width="11" hidden="0" customWidth="1"/>
    <x:col min="8" max="8" width="11" hidden="0" customWidth="1"/>
    <x:col min="9" max="9" width="9" hidden="0" customWidth="1"/>
    <x:col min="10" max="10" width="17" hidden="0" customWidth="1"/>
    <x:col min="11" max="11" width="15" hidden="0" customWidth="1"/>
    <x:col min="12" max="12" width="15" hidden="0" customWidth="1"/>
    <x:col min="13" max="13" width="13" hidden="0" customWidth="1"/>
    <x:col min="14" max="14" width="26" hidden="0" customWidth="1"/>
  </x:cols>
  <x:sheetData>
    <x:row r="1">
      <x:c r="A1" s="42" t="str">
        <x:v>품목ID</x:v>
      </x:c>
      <x:c r="B1" s="42" t="str">
        <x:v>분류</x:v>
      </x:c>
      <x:c r="C1" s="42" t="str">
        <x:v>품목명</x:v>
      </x:c>
      <x:c r="D1" s="42" t="str">
        <x:v>보관 위치</x:v>
      </x:c>
      <x:c r="E1" s="42" t="str">
        <x:v>단위</x:v>
      </x:c>
      <x:c r="F1" s="42" t="str">
        <x:v>기초수량</x:v>
      </x:c>
      <x:c r="G1" s="42" t="str">
        <x:v>장부재고</x:v>
      </x:c>
      <x:c r="H1" s="42" t="str">
        <x:v>실사수량</x:v>
      </x:c>
      <x:c r="I1" s="42" t="str">
        <x:v>차이</x:v>
      </x:c>
      <x:c r="J1" s="42" t="str">
        <x:v>유효기간/교체예정일</x:v>
      </x:c>
      <x:c r="K1" s="42" t="str">
        <x:v>마지막 점검일</x:v>
      </x:c>
      <x:c r="L1" s="42" t="str">
        <x:v>다음 점검 예정일</x:v>
      </x:c>
      <x:c r="M1" s="42" t="str">
        <x:v>상태</x:v>
      </x:c>
      <x:c r="N1" s="42" t="str">
        <x:v>조치/메모</x:v>
      </x:c>
    </x:row>
    <x:row r="2">
      <x:c r="A2" s="21" t="str">
        <x:v>W-001</x:v>
      </x:c>
      <x:c r="B2" s="21" t="str">
        <x:v>식수</x:v>
      </x:c>
      <x:c r="C2" s="21" t="str">
        <x:v>생수 2L</x:v>
      </x:c>
      <x:c r="D2" s="21" t="str">
        <x:v>현관 비상함</x:v>
      </x:c>
      <x:c r="E2" s="21" t="str">
        <x:v>병</x:v>
      </x:c>
      <x:c r="F2" s="21" t="n">
        <x:v>6</x:v>
      </x:c>
      <x:c r="G2" s="21" t="n">
        <x:v>8</x:v>
      </x:c>
      <x:c r="H2" s="21" t="n">
        <x:v>8</x:v>
      </x:c>
      <x:c r="I2" s="21" t="n">
        <x:v>0</x:v>
      </x:c>
      <x:c r="J2" s="52" t="n">
        <x:v>46417</x:v>
      </x:c>
      <x:c r="K2" s="52" t="n">
        <x:v>46266</x:v>
      </x:c>
      <x:c r="L2" s="52" t="n">
        <x:v>46447</x:v>
      </x:c>
      <x:c r="M2" s="21" t="str">
        <x:v>정상</x:v>
      </x:c>
      <x:c r="N2" s="21" t="str">
        <x:v>정기 점검</x:v>
      </x:c>
    </x:row>
    <x:row r="3">
      <x:c r="A3" s="21" t="str">
        <x:v>L-001</x:v>
      </x:c>
      <x:c r="B3" s="21" t="str">
        <x:v>조명</x:v>
      </x:c>
      <x:c r="C3" s="21" t="str">
        <x:v>LED 손전등</x:v>
      </x:c>
      <x:c r="D3" s="21" t="str">
        <x:v>거실 수납장</x:v>
      </x:c>
      <x:c r="E3" s="21" t="str">
        <x:v>개</x:v>
      </x:c>
      <x:c r="F3" s="21" t="n">
        <x:v>2</x:v>
      </x:c>
      <x:c r="G3" s="21" t="n">
        <x:v>2</x:v>
      </x:c>
      <x:c r="H3" s="21" t="n">
        <x:v>1</x:v>
      </x:c>
      <x:c r="I3" s="21" t="n">
        <x:v>-1</x:v>
      </x:c>
      <x:c r="J3" s="52"/>
      <x:c r="K3" s="52" t="n">
        <x:v>46082</x:v>
      </x:c>
      <x:c r="L3" s="52" t="n">
        <x:v>46266</x:v>
      </x:c>
      <x:c r="M3" s="21" t="str">
        <x:v>점검 필요</x:v>
      </x:c>
      <x:c r="N3" s="21" t="str">
        <x:v>실사 차이 확인</x:v>
      </x:c>
    </x:row>
    <x:row r="4">
      <x:c r="A4" s="21" t="str">
        <x:v>F-001</x:v>
      </x:c>
      <x:c r="B4" s="21" t="str">
        <x:v>식량</x:v>
      </x:c>
      <x:c r="C4" s="21" t="str">
        <x:v>즉석밥</x:v>
      </x:c>
      <x:c r="D4" s="21" t="str">
        <x:v>주방 비축함</x:v>
      </x:c>
      <x:c r="E4" s="21" t="str">
        <x:v>개</x:v>
      </x:c>
      <x:c r="F4" s="21" t="n">
        <x:v>10</x:v>
      </x:c>
      <x:c r="G4" s="21" t="n">
        <x:v>12</x:v>
      </x:c>
      <x:c r="H4" s="21" t="n">
        <x:v>12</x:v>
      </x:c>
      <x:c r="I4" s="21" t="n">
        <x:v>0</x:v>
      </x:c>
      <x:c r="J4" s="52" t="n">
        <x:v>46310</x:v>
      </x:c>
      <x:c r="K4" s="52" t="n">
        <x:v>46266</x:v>
      </x:c>
      <x:c r="L4" s="52" t="n">
        <x:v>46447</x:v>
      </x:c>
      <x:c r="M4" s="21" t="str">
        <x:v>30일 내</x:v>
      </x:c>
      <x:c r="N4" s="21" t="str">
        <x:v>교체 예정</x:v>
      </x:c>
    </x:row>
    <x:row r="6">
      <x:c r="A6" s="55" t="str">
        <x:v>예시 데이터는 사용법을 보여주기 위한 합성 값입니다. 실제 《생존일기》의 물자 수량이나 개인의 준비 권고 수량이 아닙니다.</x:v>
      </x:c>
      <x:c r="B6" s="55"/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</x:row>
    <x:row r="7">
      <x:c r="A7" s="55"/>
      <x:c r="B7" s="55"/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</x:row>
  </x:sheetData>
  <x:mergeCells>
    <x:mergeCell ref="A6:N7"/>
  </x:mergeCells>
  <x:pageMargins left="0.7" right="0.7" top="0.75" bottom="0.75" header="0.3" footer="0.3"/>
  <x:tableParts count="1">
    <x:tablePart xmlns:r="http://schemas.openxmlformats.org/officeDocument/2006/relationships" r:id="R56b14d8a42d749e5"/>
  </x:tableParts>
</x:worksheet>
</file>